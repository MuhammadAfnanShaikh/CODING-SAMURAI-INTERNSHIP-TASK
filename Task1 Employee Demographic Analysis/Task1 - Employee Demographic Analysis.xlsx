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AFNAN\Downloads\"/>
    </mc:Choice>
  </mc:AlternateContent>
  <bookViews>
    <workbookView xWindow="0" yWindow="0" windowWidth="16380" windowHeight="8190" tabRatio="500"/>
  </bookViews>
  <sheets>
    <sheet name="Employees" sheetId="1" r:id="rId1"/>
    <sheet name="Pivot Table" sheetId="2" r:id="rId2"/>
    <sheet name="Pivot Graph" sheetId="3" r:id="rId3"/>
  </sheets>
  <definedNames>
    <definedName name="_xlnm._FilterDatabase" localSheetId="0" hidden="1">Employees!$A$1:$K$101</definedName>
    <definedName name="Slicer_Birth_Month">#N/A</definedName>
    <definedName name="Slicer_Performance_Ratings">#N/A</definedName>
  </definedNames>
  <calcPr calcId="162913" iterateDelta="1E-4"/>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loext="http://schemas.libreoffice.org/" uri="{7626C862-2A13-11E5-B345-FEFF819CDC9F}">
      <loext:extCalcPr stringRefSyntax="ExcelA1"/>
    </ext>
  </extLst>
</workbook>
</file>

<file path=xl/calcChain.xml><?xml version="1.0" encoding="utf-8"?>
<calcChain xmlns="http://schemas.openxmlformats.org/spreadsheetml/2006/main">
  <c r="K101" i="1" l="1"/>
  <c r="J101" i="1"/>
  <c r="K100" i="1"/>
  <c r="J100" i="1"/>
  <c r="K99" i="1"/>
  <c r="J99" i="1"/>
  <c r="K98" i="1"/>
  <c r="J98" i="1"/>
  <c r="K97" i="1"/>
  <c r="J97" i="1"/>
  <c r="K96" i="1"/>
  <c r="J96" i="1"/>
  <c r="K95" i="1"/>
  <c r="J95" i="1"/>
  <c r="K94" i="1"/>
  <c r="J94" i="1"/>
  <c r="K93" i="1"/>
  <c r="J93" i="1"/>
  <c r="K92" i="1"/>
  <c r="J92" i="1"/>
  <c r="K91" i="1"/>
  <c r="J91" i="1"/>
  <c r="K90" i="1"/>
  <c r="J90" i="1"/>
  <c r="K89" i="1"/>
  <c r="J89" i="1"/>
  <c r="K88" i="1"/>
  <c r="J88" i="1"/>
  <c r="K87" i="1"/>
  <c r="J87" i="1"/>
  <c r="K86" i="1"/>
  <c r="J86" i="1"/>
  <c r="K85" i="1"/>
  <c r="J85" i="1"/>
  <c r="K84" i="1"/>
  <c r="J84" i="1"/>
  <c r="K83" i="1"/>
  <c r="J83" i="1"/>
  <c r="K82" i="1"/>
  <c r="J82" i="1"/>
  <c r="K81" i="1"/>
  <c r="J81" i="1"/>
  <c r="K80" i="1"/>
  <c r="J80" i="1"/>
  <c r="K79" i="1"/>
  <c r="J79" i="1"/>
  <c r="K78" i="1"/>
  <c r="J78" i="1"/>
  <c r="K77" i="1"/>
  <c r="J77" i="1"/>
  <c r="K76" i="1"/>
  <c r="J76" i="1"/>
  <c r="K75" i="1"/>
  <c r="J75" i="1"/>
  <c r="K74" i="1"/>
  <c r="J74" i="1"/>
  <c r="K73" i="1"/>
  <c r="J73" i="1"/>
  <c r="K72" i="1"/>
  <c r="J72" i="1"/>
  <c r="K71" i="1"/>
  <c r="J71" i="1"/>
  <c r="K70" i="1"/>
  <c r="J70" i="1"/>
  <c r="K69" i="1"/>
  <c r="J69" i="1"/>
  <c r="K68" i="1"/>
  <c r="J68" i="1"/>
  <c r="K67" i="1"/>
  <c r="J67" i="1"/>
  <c r="K66" i="1"/>
  <c r="J66" i="1"/>
  <c r="K65" i="1"/>
  <c r="J65" i="1"/>
  <c r="K64" i="1"/>
  <c r="J64" i="1"/>
  <c r="K63" i="1"/>
  <c r="J63" i="1"/>
  <c r="K62" i="1"/>
  <c r="J62" i="1"/>
  <c r="K61" i="1"/>
  <c r="J61" i="1"/>
  <c r="K60" i="1"/>
  <c r="J60" i="1"/>
  <c r="K59" i="1"/>
  <c r="J59" i="1"/>
  <c r="K58" i="1"/>
  <c r="J58" i="1"/>
  <c r="K57" i="1"/>
  <c r="J57" i="1"/>
  <c r="K56" i="1"/>
  <c r="J56" i="1"/>
  <c r="K55" i="1"/>
  <c r="J55" i="1"/>
  <c r="K54" i="1"/>
  <c r="J54" i="1"/>
  <c r="K53" i="1"/>
  <c r="J53" i="1"/>
  <c r="K52" i="1"/>
  <c r="J52" i="1"/>
  <c r="K51" i="1"/>
  <c r="J51" i="1"/>
  <c r="K50" i="1"/>
  <c r="J50" i="1"/>
  <c r="K49" i="1"/>
  <c r="J49" i="1"/>
  <c r="K48" i="1"/>
  <c r="J48" i="1"/>
  <c r="K47" i="1"/>
  <c r="J47" i="1"/>
  <c r="K46" i="1"/>
  <c r="J46" i="1"/>
  <c r="K45" i="1"/>
  <c r="J45" i="1"/>
  <c r="K44" i="1"/>
  <c r="J44" i="1"/>
  <c r="K43" i="1"/>
  <c r="J43" i="1"/>
  <c r="K42" i="1"/>
  <c r="J42" i="1"/>
  <c r="K41" i="1"/>
  <c r="J41" i="1"/>
  <c r="K40" i="1"/>
  <c r="J40" i="1"/>
  <c r="K39" i="1"/>
  <c r="J39" i="1"/>
  <c r="K38" i="1"/>
  <c r="J38" i="1"/>
  <c r="K37" i="1"/>
  <c r="J37" i="1"/>
  <c r="K36" i="1"/>
  <c r="J36" i="1"/>
  <c r="K35" i="1"/>
  <c r="J35" i="1"/>
  <c r="K34" i="1"/>
  <c r="J34" i="1"/>
  <c r="K33" i="1"/>
  <c r="J33" i="1"/>
  <c r="K32" i="1"/>
  <c r="J32" i="1"/>
  <c r="K31" i="1"/>
  <c r="J31" i="1"/>
  <c r="K30" i="1"/>
  <c r="J30" i="1"/>
  <c r="K29" i="1"/>
  <c r="J29" i="1"/>
  <c r="K28" i="1"/>
  <c r="J28" i="1"/>
  <c r="K27" i="1"/>
  <c r="J27" i="1"/>
  <c r="K26" i="1"/>
  <c r="J26" i="1"/>
  <c r="K25" i="1"/>
  <c r="J25" i="1"/>
  <c r="K24" i="1"/>
  <c r="J24" i="1"/>
  <c r="K23" i="1"/>
  <c r="J23" i="1"/>
  <c r="K22" i="1"/>
  <c r="J22" i="1"/>
  <c r="K21" i="1"/>
  <c r="J21" i="1"/>
  <c r="K20" i="1"/>
  <c r="J20" i="1"/>
  <c r="K19" i="1"/>
  <c r="J19" i="1"/>
  <c r="K18" i="1"/>
  <c r="J18" i="1"/>
  <c r="K17" i="1"/>
  <c r="J17" i="1"/>
  <c r="K16" i="1"/>
  <c r="J16" i="1"/>
  <c r="K15" i="1"/>
  <c r="J15" i="1"/>
  <c r="K14" i="1"/>
  <c r="J14" i="1"/>
  <c r="K13" i="1"/>
  <c r="J13" i="1"/>
  <c r="K12" i="1"/>
  <c r="J12" i="1"/>
  <c r="K11" i="1"/>
  <c r="J11" i="1"/>
  <c r="K10" i="1"/>
  <c r="J10" i="1"/>
  <c r="K9" i="1"/>
  <c r="J9" i="1"/>
  <c r="K8" i="1"/>
  <c r="J8" i="1"/>
  <c r="K7" i="1"/>
  <c r="J7" i="1"/>
  <c r="K6" i="1"/>
  <c r="J6" i="1"/>
  <c r="K5" i="1"/>
  <c r="J5" i="1"/>
  <c r="K4" i="1"/>
  <c r="J4" i="1"/>
  <c r="K3" i="1"/>
  <c r="J3" i="1"/>
  <c r="K2" i="1"/>
  <c r="J2" i="1"/>
</calcChain>
</file>

<file path=xl/sharedStrings.xml><?xml version="1.0" encoding="utf-8"?>
<sst xmlns="http://schemas.openxmlformats.org/spreadsheetml/2006/main" count="438" uniqueCount="222">
  <si>
    <t>Employee Id</t>
  </si>
  <si>
    <t>Age</t>
  </si>
  <si>
    <t>Date of Birth</t>
  </si>
  <si>
    <t>Date of Joining</t>
  </si>
  <si>
    <t>Gender</t>
  </si>
  <si>
    <t>Designation</t>
  </si>
  <si>
    <t>Department</t>
  </si>
  <si>
    <t>Annual CTC (INR)</t>
  </si>
  <si>
    <t>Performance Ratings</t>
  </si>
  <si>
    <t>Birth Month</t>
  </si>
  <si>
    <t>Birth Month No.</t>
  </si>
  <si>
    <t>EMP0001</t>
  </si>
  <si>
    <t>Other</t>
  </si>
  <si>
    <t>Glass blower/designer</t>
  </si>
  <si>
    <t>Finance</t>
  </si>
  <si>
    <t>EMP0002</t>
  </si>
  <si>
    <t>Arts administrator</t>
  </si>
  <si>
    <t>EMP0003</t>
  </si>
  <si>
    <t>Agricultural consultant</t>
  </si>
  <si>
    <t>Marketing</t>
  </si>
  <si>
    <t>EMP0004</t>
  </si>
  <si>
    <t>Insurance claims handler</t>
  </si>
  <si>
    <t>HR</t>
  </si>
  <si>
    <t>EMP0005</t>
  </si>
  <si>
    <t>Personal assistant</t>
  </si>
  <si>
    <t>EMP0006</t>
  </si>
  <si>
    <t>Risk analyst</t>
  </si>
  <si>
    <t>EMP0007</t>
  </si>
  <si>
    <t>Therapist, drama</t>
  </si>
  <si>
    <t>EMP0008</t>
  </si>
  <si>
    <t>Male</t>
  </si>
  <si>
    <t>Museum education officer</t>
  </si>
  <si>
    <t>EMP0009</t>
  </si>
  <si>
    <t>Female</t>
  </si>
  <si>
    <t>Therapist, nutritional</t>
  </si>
  <si>
    <t>Sales</t>
  </si>
  <si>
    <t>EMP0010</t>
  </si>
  <si>
    <t>Contractor</t>
  </si>
  <si>
    <t>Operations</t>
  </si>
  <si>
    <t>EMP0011</t>
  </si>
  <si>
    <t>Farm manager</t>
  </si>
  <si>
    <t>EMP0012</t>
  </si>
  <si>
    <t>Pharmacologist</t>
  </si>
  <si>
    <t>EMP0013</t>
  </si>
  <si>
    <t>Photographer</t>
  </si>
  <si>
    <t>EMP0014</t>
  </si>
  <si>
    <t>Network engineer</t>
  </si>
  <si>
    <t>EMP0015</t>
  </si>
  <si>
    <t>Theme park manager</t>
  </si>
  <si>
    <t>EMP0016</t>
  </si>
  <si>
    <t>EMP0017</t>
  </si>
  <si>
    <t>Administrator, local government</t>
  </si>
  <si>
    <t>EMP0018</t>
  </si>
  <si>
    <t>Investment banker, operational</t>
  </si>
  <si>
    <t>EMP0019</t>
  </si>
  <si>
    <t>Statistician</t>
  </si>
  <si>
    <t>IT</t>
  </si>
  <si>
    <t>EMP0020</t>
  </si>
  <si>
    <t>Designer, interior/spatial</t>
  </si>
  <si>
    <t>EMP0021</t>
  </si>
  <si>
    <t>Architect</t>
  </si>
  <si>
    <t>EMP0022</t>
  </si>
  <si>
    <t>Engineer, mining</t>
  </si>
  <si>
    <t>EMP0023</t>
  </si>
  <si>
    <t>Food technologist</t>
  </si>
  <si>
    <t>EMP0024</t>
  </si>
  <si>
    <t>Energy manager</t>
  </si>
  <si>
    <t>EMP0025</t>
  </si>
  <si>
    <t>Technical author</t>
  </si>
  <si>
    <t>EMP0026</t>
  </si>
  <si>
    <t>IT trainer</t>
  </si>
  <si>
    <t>EMP0027</t>
  </si>
  <si>
    <t>Trading standards officer</t>
  </si>
  <si>
    <t>EMP0028</t>
  </si>
  <si>
    <t>Engineer, chemical</t>
  </si>
  <si>
    <t>EMP0029</t>
  </si>
  <si>
    <t>Pension scheme manager</t>
  </si>
  <si>
    <t>EMP0030</t>
  </si>
  <si>
    <t>Legal secretary</t>
  </si>
  <si>
    <t>EMP0031</t>
  </si>
  <si>
    <t>Banker</t>
  </si>
  <si>
    <t>EMP0032</t>
  </si>
  <si>
    <t>Operations geologist</t>
  </si>
  <si>
    <t>EMP0033</t>
  </si>
  <si>
    <t>Film/video editor</t>
  </si>
  <si>
    <t>EMP0034</t>
  </si>
  <si>
    <t>EMP0035</t>
  </si>
  <si>
    <t>Pharmacist, community</t>
  </si>
  <si>
    <t>EMP0036</t>
  </si>
  <si>
    <t>Cartographer</t>
  </si>
  <si>
    <t>EMP0037</t>
  </si>
  <si>
    <t>Chiropodist</t>
  </si>
  <si>
    <t>EMP0038</t>
  </si>
  <si>
    <t>Clinical molecular geneticist</t>
  </si>
  <si>
    <t>EMP0039</t>
  </si>
  <si>
    <t>Meteorologist</t>
  </si>
  <si>
    <t>EMP0040</t>
  </si>
  <si>
    <t>Journalist, newspaper</t>
  </si>
  <si>
    <t>EMP0041</t>
  </si>
  <si>
    <t>Administrator, education</t>
  </si>
  <si>
    <t>EMP0042</t>
  </si>
  <si>
    <t>Mental health nurse</t>
  </si>
  <si>
    <t>EMP0043</t>
  </si>
  <si>
    <t>Airline pilot</t>
  </si>
  <si>
    <t>EMP0044</t>
  </si>
  <si>
    <t>Management consultant</t>
  </si>
  <si>
    <t>EMP0045</t>
  </si>
  <si>
    <t>Heritage manager</t>
  </si>
  <si>
    <t>EMP0046</t>
  </si>
  <si>
    <t>Telecommunications researcher</t>
  </si>
  <si>
    <t>EMP0047</t>
  </si>
  <si>
    <t>IT consultant</t>
  </si>
  <si>
    <t>EMP0048</t>
  </si>
  <si>
    <t>Advertising copywriter</t>
  </si>
  <si>
    <t>EMP0049</t>
  </si>
  <si>
    <t>Insurance risk surveyor</t>
  </si>
  <si>
    <t>EMP0050</t>
  </si>
  <si>
    <t>Scientist, marine</t>
  </si>
  <si>
    <t>EMP0051</t>
  </si>
  <si>
    <t>Solicitor, Scotland</t>
  </si>
  <si>
    <t>EMP0052</t>
  </si>
  <si>
    <t>Psychiatrist</t>
  </si>
  <si>
    <t>EMP0053</t>
  </si>
  <si>
    <t>EMP0054</t>
  </si>
  <si>
    <t>Fitness centre manager</t>
  </si>
  <si>
    <t>EMP0055</t>
  </si>
  <si>
    <t>Designer, blown glass/stained glass</t>
  </si>
  <si>
    <t>EMP0056</t>
  </si>
  <si>
    <t>Corporate investment banker</t>
  </si>
  <si>
    <t>EMP0057</t>
  </si>
  <si>
    <t>General practice doctor</t>
  </si>
  <si>
    <t>EMP0058</t>
  </si>
  <si>
    <t>Transport planner</t>
  </si>
  <si>
    <t>EMP0059</t>
  </si>
  <si>
    <t>Armed forces training and education officer</t>
  </si>
  <si>
    <t>EMP0060</t>
  </si>
  <si>
    <t>Teacher, primary school</t>
  </si>
  <si>
    <t>EMP0061</t>
  </si>
  <si>
    <t>Advertising account planner</t>
  </si>
  <si>
    <t>EMP0062</t>
  </si>
  <si>
    <t>Operational researcher</t>
  </si>
  <si>
    <t>EMP0063</t>
  </si>
  <si>
    <t>Acupuncturist</t>
  </si>
  <si>
    <t>EMP0064</t>
  </si>
  <si>
    <t>Data scientist</t>
  </si>
  <si>
    <t>EMP0065</t>
  </si>
  <si>
    <t>Television camera operator</t>
  </si>
  <si>
    <t>EMP0066</t>
  </si>
  <si>
    <t>Forensic scientist</t>
  </si>
  <si>
    <t>EMP0067</t>
  </si>
  <si>
    <t>Programmer, systems</t>
  </si>
  <si>
    <t>EMP0068</t>
  </si>
  <si>
    <t>Product designer</t>
  </si>
  <si>
    <t>EMP0069</t>
  </si>
  <si>
    <t>Futures trader</t>
  </si>
  <si>
    <t>EMP0070</t>
  </si>
  <si>
    <t>Tax inspector</t>
  </si>
  <si>
    <t>EMP0071</t>
  </si>
  <si>
    <t>Firefighter</t>
  </si>
  <si>
    <t>EMP0072</t>
  </si>
  <si>
    <t>Event organiser</t>
  </si>
  <si>
    <t>EMP0073</t>
  </si>
  <si>
    <t>Engineer, site</t>
  </si>
  <si>
    <t>EMP0074</t>
  </si>
  <si>
    <t>Surgeon</t>
  </si>
  <si>
    <t>EMP0075</t>
  </si>
  <si>
    <t>Development worker, international aid</t>
  </si>
  <si>
    <t>EMP0076</t>
  </si>
  <si>
    <t>Surveyor, building</t>
  </si>
  <si>
    <t>EMP0077</t>
  </si>
  <si>
    <t>Museum/gallery curator</t>
  </si>
  <si>
    <t>EMP0078</t>
  </si>
  <si>
    <t>Engineer, structural</t>
  </si>
  <si>
    <t>EMP0079</t>
  </si>
  <si>
    <t>Surveyor, mining</t>
  </si>
  <si>
    <t>EMP0080</t>
  </si>
  <si>
    <t>Clothing/textile technologist</t>
  </si>
  <si>
    <t>EMP0081</t>
  </si>
  <si>
    <t>Nurse, learning disability</t>
  </si>
  <si>
    <t>EMP0082</t>
  </si>
  <si>
    <t>Archivist</t>
  </si>
  <si>
    <t>EMP0083</t>
  </si>
  <si>
    <t>Financial manager</t>
  </si>
  <si>
    <t>EMP0084</t>
  </si>
  <si>
    <t>Communications engineer</t>
  </si>
  <si>
    <t>EMP0085</t>
  </si>
  <si>
    <t>Clinical research associate</t>
  </si>
  <si>
    <t>EMP0086</t>
  </si>
  <si>
    <t>EMP0087</t>
  </si>
  <si>
    <t>Teacher, English as a foreign language</t>
  </si>
  <si>
    <t>EMP0088</t>
  </si>
  <si>
    <t>Hotel manager</t>
  </si>
  <si>
    <t>EMP0089</t>
  </si>
  <si>
    <t>Engineer, automotive</t>
  </si>
  <si>
    <t>EMP0090</t>
  </si>
  <si>
    <t>Research officer, political party</t>
  </si>
  <si>
    <t>EMP0091</t>
  </si>
  <si>
    <t>Scientist, research (physical sciences)</t>
  </si>
  <si>
    <t>EMP0092</t>
  </si>
  <si>
    <t>Electrical engineer</t>
  </si>
  <si>
    <t>EMP0093</t>
  </si>
  <si>
    <t>Chief of Staff</t>
  </si>
  <si>
    <t>EMP0094</t>
  </si>
  <si>
    <t>Graphic designer</t>
  </si>
  <si>
    <t>EMP0095</t>
  </si>
  <si>
    <t>Field seismologist</t>
  </si>
  <si>
    <t>EMP0096</t>
  </si>
  <si>
    <t>Arts development officer</t>
  </si>
  <si>
    <t>EMP0097</t>
  </si>
  <si>
    <t>Medical secretary</t>
  </si>
  <si>
    <t>EMP0098</t>
  </si>
  <si>
    <t>Historic buildings inspector/conservation officer</t>
  </si>
  <si>
    <t>EMP0099</t>
  </si>
  <si>
    <t>Building control surveyor</t>
  </si>
  <si>
    <t>EMP0100</t>
  </si>
  <si>
    <t>Water quality scientist</t>
  </si>
  <si>
    <t>Row Labels</t>
  </si>
  <si>
    <t>Grand Total</t>
  </si>
  <si>
    <t>Employee Percentage by Gender</t>
  </si>
  <si>
    <t>Average Annual CTC by Department</t>
  </si>
  <si>
    <t>Age Distribution</t>
  </si>
  <si>
    <t>Total of Employee ID by Department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</si>
</sst>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m\-yyyy"/>
  </numFmts>
  <fonts count="3" x14ac:knownFonts="1">
    <font>
      <sz val="11"/>
      <color theme="1"/>
      <name val="Calibri"/>
      <family val="2"/>
      <charset val="1"/>
    </font>
    <font>
      <b/>
      <sz val="10"/>
      <color rgb="FFFFFFFF"/>
      <name val="Arial"/>
      <charset val="1"/>
    </font>
    <font>
      <sz val="10"/>
      <name val="Arial"/>
      <charset val="1"/>
    </font>
  </fonts>
  <fills count="3">
    <fill>
      <patternFill patternType="none"/>
    </fill>
    <fill>
      <patternFill patternType="gray125"/>
    </fill>
    <fill>
      <patternFill patternType="solid">
        <fgColor rgb="FF1F4E78"/>
        <bgColor rgb="FF003366"/>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applyAlignment="1">
      <alignment horizontal="center" wrapText="1"/>
    </xf>
    <xf numFmtId="0" fontId="2" fillId="0" borderId="0" xfId="0" applyFont="1"/>
    <xf numFmtId="164" fontId="2" fillId="0" borderId="0" xfId="0" applyNumberFormat="1" applyFont="1"/>
    <xf numFmtId="3" fontId="2" fillId="0" borderId="0" xfId="0" applyNumberFormat="1" applyFont="1"/>
    <xf numFmtId="0" fontId="2" fillId="0" borderId="0" xfId="0" applyFont="1" applyAlignment="1">
      <alignment horizontal="center"/>
    </xf>
    <xf numFmtId="0" fontId="0" fillId="0" borderId="0" xfId="0" pivotButton="1"/>
    <xf numFmtId="0" fontId="0" fillId="0" borderId="0" xfId="0" applyAlignment="1">
      <alignment horizontal="left"/>
    </xf>
    <xf numFmtId="0" fontId="0" fillId="0" borderId="0" xfId="0" applyNumberFormat="1"/>
    <xf numFmtId="1" fontId="0" fillId="0" borderId="0" xfId="0" applyNumberFormat="1"/>
  </cellXfs>
  <cellStyles count="1">
    <cellStyle name="Normal" xfId="0" builtinId="0"/>
  </cellStyles>
  <dxfs count="57">
    <dxf>
      <numFmt numFmtId="1" formatCode="0"/>
    </dxf>
    <dxf>
      <numFmt numFmtId="165" formatCode="0.0"/>
    </dxf>
    <dxf>
      <numFmt numFmtId="1" formatCode="0"/>
    </dxf>
    <dxf>
      <numFmt numFmtId="1" formatCode="0"/>
    </dxf>
    <dxf>
      <numFmt numFmtId="165" formatCode="0.0"/>
    </dxf>
    <dxf>
      <numFmt numFmtId="1" formatCode="0"/>
    </dxf>
    <dxf>
      <numFmt numFmtId="1" formatCode="0"/>
    </dxf>
    <dxf>
      <numFmt numFmtId="165" formatCode="0.0"/>
    </dxf>
    <dxf>
      <numFmt numFmtId="1" formatCode="0"/>
    </dxf>
    <dxf>
      <numFmt numFmtId="1" formatCode="0"/>
    </dxf>
    <dxf>
      <numFmt numFmtId="165" formatCode="0.0"/>
    </dxf>
    <dxf>
      <numFmt numFmtId="1" formatCode="0"/>
    </dxf>
    <dxf>
      <numFmt numFmtId="1" formatCode="0"/>
    </dxf>
    <dxf>
      <numFmt numFmtId="165" formatCode="0.0"/>
    </dxf>
    <dxf>
      <numFmt numFmtId="1" formatCode="0"/>
    </dxf>
    <dxf>
      <numFmt numFmtId="1" formatCode="0"/>
    </dxf>
    <dxf>
      <numFmt numFmtId="165" formatCode="0.0"/>
    </dxf>
    <dxf>
      <numFmt numFmtId="1" formatCode="0"/>
    </dxf>
    <dxf>
      <numFmt numFmtId="1" formatCode="0"/>
    </dxf>
    <dxf>
      <numFmt numFmtId="165" formatCode="0.0"/>
    </dxf>
    <dxf>
      <numFmt numFmtId="1" formatCode="0"/>
    </dxf>
    <dxf>
      <numFmt numFmtId="1" formatCode="0"/>
    </dxf>
    <dxf>
      <numFmt numFmtId="165" formatCode="0.0"/>
    </dxf>
    <dxf>
      <numFmt numFmtId="1" formatCode="0"/>
    </dxf>
    <dxf>
      <numFmt numFmtId="1" formatCode="0"/>
    </dxf>
    <dxf>
      <numFmt numFmtId="165" formatCode="0.0"/>
    </dxf>
    <dxf>
      <numFmt numFmtId="1" formatCode="0"/>
    </dxf>
    <dxf>
      <numFmt numFmtId="1" formatCode="0"/>
    </dxf>
    <dxf>
      <numFmt numFmtId="165" formatCode="0.0"/>
    </dxf>
    <dxf>
      <numFmt numFmtId="1" formatCode="0"/>
    </dxf>
    <dxf>
      <numFmt numFmtId="1" formatCode="0"/>
    </dxf>
    <dxf>
      <numFmt numFmtId="165" formatCode="0.0"/>
    </dxf>
    <dxf>
      <numFmt numFmtId="1" formatCode="0"/>
    </dxf>
    <dxf>
      <numFmt numFmtId="1" formatCode="0"/>
    </dxf>
    <dxf>
      <numFmt numFmtId="165" formatCode="0.0"/>
    </dxf>
    <dxf>
      <numFmt numFmtId="1" formatCode="0"/>
    </dxf>
    <dxf>
      <numFmt numFmtId="1" formatCode="0"/>
    </dxf>
    <dxf>
      <numFmt numFmtId="165" formatCode="0.0"/>
    </dxf>
    <dxf>
      <numFmt numFmtId="1" formatCode="0"/>
    </dxf>
    <dxf>
      <numFmt numFmtId="1" formatCode="0"/>
    </dxf>
    <dxf>
      <numFmt numFmtId="165" formatCode="0.0"/>
    </dxf>
    <dxf>
      <numFmt numFmtId="1" formatCode="0"/>
    </dxf>
    <dxf>
      <numFmt numFmtId="1" formatCode="0"/>
    </dxf>
    <dxf>
      <numFmt numFmtId="165" formatCode="0.0"/>
    </dxf>
    <dxf>
      <numFmt numFmtId="1" formatCode="0"/>
    </dxf>
    <dxf>
      <numFmt numFmtId="1" formatCode="0"/>
    </dxf>
    <dxf>
      <numFmt numFmtId="165" formatCode="0.0"/>
    </dxf>
    <dxf>
      <numFmt numFmtId="1" formatCode="0"/>
    </dxf>
    <dxf>
      <numFmt numFmtId="1" formatCode="0"/>
    </dxf>
    <dxf>
      <numFmt numFmtId="165" formatCode="0.0"/>
    </dxf>
    <dxf>
      <numFmt numFmtId="1" formatCode="0"/>
    </dxf>
    <dxf>
      <numFmt numFmtId="1" formatCode="0"/>
    </dxf>
    <dxf>
      <numFmt numFmtId="165" formatCode="0.0"/>
    </dxf>
    <dxf>
      <numFmt numFmtId="1" formatCode="0"/>
    </dxf>
    <dxf>
      <numFmt numFmtId="1" formatCode="0"/>
    </dxf>
    <dxf>
      <numFmt numFmtId="165" formatCode="0.0"/>
    </dxf>
    <dxf>
      <numFmt numFmtId="1" formatCode="0"/>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[Employee_Data_with_Month.xlsx]Pivot Table!PivotTable1</c:name>
    <c:fmtId val="21"/>
  </c:pivotSource>
  <c:chart>
    <c:autoTitleDeleted val="1"/>
    <c:pivotFmts>
      <c:pivotFmt>
        <c:idx val="0"/>
      </c:pivotFmt>
      <c:pivotFmt>
        <c:idx val="1"/>
      </c:pivotFmt>
      <c:pivotFmt>
        <c:idx val="2"/>
      </c:pivotFmt>
      <c:pivotFmt>
        <c:idx val="3"/>
        <c:spPr>
          <a:ln w="34925" cap="rnd">
            <a:solidFill>
              <a:schemeClr val="accent1"/>
            </a:solidFill>
            <a:round/>
          </a:ln>
          <a:effectLst/>
        </c:spPr>
        <c:marker>
          <c:symbol val="circle"/>
          <c:size val="6"/>
          <c:spPr>
            <a:gradFill>
              <a:gsLst>
                <a:gs pos="0">
                  <a:schemeClr val="accent1">
                    <a:shade val="51000"/>
                  </a:schemeClr>
                </a:gs>
                <a:gs pos="80000">
                  <a:schemeClr val="accent1">
                    <a:shade val="93000"/>
                  </a:schemeClr>
                </a:gs>
                <a:gs pos="100000">
                  <a:schemeClr val="accent1">
                    <a:shade val="94000"/>
                  </a:schemeClr>
                </a:gs>
              </a:gsLst>
              <a:lin ang="16200000" scaled="0"/>
              <a:tileRect/>
            </a:gradFill>
            <a:ln w="9525">
              <a:solidFill>
                <a:schemeClr val="accent1"/>
              </a:solidFill>
              <a:round/>
            </a:ln>
            <a:effectLst/>
          </c:spPr>
        </c:marker>
      </c:pivotFmt>
    </c:pivotFmts>
    <c:plotArea>
      <c:layout/>
      <c:lineChart>
        <c:grouping val="stacked"/>
        <c:varyColors val="0"/>
        <c:ser>
          <c:idx val="0"/>
          <c:order val="0"/>
          <c:tx>
            <c:strRef>
              <c:f>'Pivot Table'!$B$3</c:f>
              <c:strCache>
                <c:ptCount val="1"/>
                <c:pt idx="0">
                  <c:v>Total</c:v>
                </c:pt>
              </c:strCache>
            </c:strRef>
          </c:tx>
          <c:spPr>
            <a:ln w="34925" cap="rnd">
              <a:solidFill>
                <a:schemeClr val="accent1"/>
              </a:solidFill>
              <a:round/>
            </a:ln>
            <a:effectLst/>
          </c:spPr>
          <c:marker>
            <c:symbol val="circle"/>
            <c:size val="6"/>
            <c:spPr>
              <a:gradFill>
                <a:gsLst>
                  <a:gs pos="0">
                    <a:schemeClr val="accent1">
                      <a:shade val="51000"/>
                    </a:schemeClr>
                  </a:gs>
                  <a:gs pos="80000">
                    <a:schemeClr val="accent1">
                      <a:shade val="93000"/>
                    </a:schemeClr>
                  </a:gs>
                  <a:gs pos="100000">
                    <a:schemeClr val="accent1">
                      <a:shade val="94000"/>
                    </a:schemeClr>
                  </a:gs>
                </a:gsLst>
                <a:lin ang="16200000" scaled="0"/>
                <a:tileRect/>
              </a:gradFill>
              <a:ln w="9525">
                <a:solidFill>
                  <a:schemeClr val="accent1"/>
                </a:solidFill>
                <a:round/>
              </a:ln>
              <a:effectLst/>
            </c:spPr>
          </c:marker>
          <c:cat>
            <c:strRef>
              <c:f>'Pivot Table'!$A$4:$A$43</c:f>
              <c:strCache>
                <c:ptCount val="39"/>
                <c:pt idx="0">
                  <c:v>24</c:v>
                </c:pt>
                <c:pt idx="1">
                  <c:v>25</c:v>
                </c:pt>
                <c:pt idx="2">
                  <c:v>26</c:v>
                </c:pt>
                <c:pt idx="3">
                  <c:v>27</c:v>
                </c:pt>
                <c:pt idx="4">
                  <c:v>28</c:v>
                </c:pt>
                <c:pt idx="5">
                  <c:v>29</c:v>
                </c:pt>
                <c:pt idx="6">
                  <c:v>30</c:v>
                </c:pt>
                <c:pt idx="7">
                  <c:v>31</c:v>
                </c:pt>
                <c:pt idx="8">
                  <c:v>32</c:v>
                </c:pt>
                <c:pt idx="9">
                  <c:v>33</c:v>
                </c:pt>
                <c:pt idx="10">
                  <c:v>34</c:v>
                </c:pt>
                <c:pt idx="11">
                  <c:v>35</c:v>
                </c:pt>
                <c:pt idx="12">
                  <c:v>36</c:v>
                </c:pt>
                <c:pt idx="13">
                  <c:v>37</c:v>
                </c:pt>
                <c:pt idx="14">
                  <c:v>38</c:v>
                </c:pt>
                <c:pt idx="15">
                  <c:v>39</c:v>
                </c:pt>
                <c:pt idx="16">
                  <c:v>40</c:v>
                </c:pt>
                <c:pt idx="17">
                  <c:v>41</c:v>
                </c:pt>
                <c:pt idx="18">
                  <c:v>42</c:v>
                </c:pt>
                <c:pt idx="19">
                  <c:v>43</c:v>
                </c:pt>
                <c:pt idx="20">
                  <c:v>44</c:v>
                </c:pt>
                <c:pt idx="21">
                  <c:v>45</c:v>
                </c:pt>
                <c:pt idx="22">
                  <c:v>46</c:v>
                </c:pt>
                <c:pt idx="23">
                  <c:v>47</c:v>
                </c:pt>
                <c:pt idx="24">
                  <c:v>48</c:v>
                </c:pt>
                <c:pt idx="25">
                  <c:v>49</c:v>
                </c:pt>
                <c:pt idx="26">
                  <c:v>50</c:v>
                </c:pt>
                <c:pt idx="27">
                  <c:v>51</c:v>
                </c:pt>
                <c:pt idx="28">
                  <c:v>52</c:v>
                </c:pt>
                <c:pt idx="29">
                  <c:v>53</c:v>
                </c:pt>
                <c:pt idx="30">
                  <c:v>54</c:v>
                </c:pt>
                <c:pt idx="31">
                  <c:v>55</c:v>
                </c:pt>
                <c:pt idx="32">
                  <c:v>56</c:v>
                </c:pt>
                <c:pt idx="33">
                  <c:v>57</c:v>
                </c:pt>
                <c:pt idx="34">
                  <c:v>58</c:v>
                </c:pt>
                <c:pt idx="35">
                  <c:v>59</c:v>
                </c:pt>
                <c:pt idx="36">
                  <c:v>60</c:v>
                </c:pt>
                <c:pt idx="37">
                  <c:v>61</c:v>
                </c:pt>
                <c:pt idx="38">
                  <c:v>62</c:v>
                </c:pt>
              </c:strCache>
            </c:strRef>
          </c:cat>
          <c:val>
            <c:numRef>
              <c:f>'Pivot Table'!$B$4:$B$43</c:f>
              <c:numCache>
                <c:formatCode>General</c:formatCode>
                <c:ptCount val="39"/>
                <c:pt idx="0">
                  <c:v>2</c:v>
                </c:pt>
                <c:pt idx="1">
                  <c:v>4</c:v>
                </c:pt>
                <c:pt idx="2">
                  <c:v>2</c:v>
                </c:pt>
                <c:pt idx="3">
                  <c:v>1</c:v>
                </c:pt>
                <c:pt idx="4">
                  <c:v>4</c:v>
                </c:pt>
                <c:pt idx="5">
                  <c:v>1</c:v>
                </c:pt>
                <c:pt idx="6">
                  <c:v>2</c:v>
                </c:pt>
                <c:pt idx="7">
                  <c:v>4</c:v>
                </c:pt>
                <c:pt idx="8">
                  <c:v>4</c:v>
                </c:pt>
                <c:pt idx="9">
                  <c:v>4</c:v>
                </c:pt>
                <c:pt idx="10">
                  <c:v>1</c:v>
                </c:pt>
                <c:pt idx="11">
                  <c:v>2</c:v>
                </c:pt>
                <c:pt idx="12">
                  <c:v>3</c:v>
                </c:pt>
                <c:pt idx="13">
                  <c:v>2</c:v>
                </c:pt>
                <c:pt idx="14">
                  <c:v>3</c:v>
                </c:pt>
                <c:pt idx="15">
                  <c:v>1</c:v>
                </c:pt>
                <c:pt idx="16">
                  <c:v>1</c:v>
                </c:pt>
                <c:pt idx="17">
                  <c:v>2</c:v>
                </c:pt>
                <c:pt idx="18">
                  <c:v>2</c:v>
                </c:pt>
                <c:pt idx="19">
                  <c:v>6</c:v>
                </c:pt>
                <c:pt idx="20">
                  <c:v>1</c:v>
                </c:pt>
                <c:pt idx="21">
                  <c:v>5</c:v>
                </c:pt>
                <c:pt idx="22">
                  <c:v>3</c:v>
                </c:pt>
                <c:pt idx="23">
                  <c:v>2</c:v>
                </c:pt>
                <c:pt idx="24">
                  <c:v>5</c:v>
                </c:pt>
                <c:pt idx="25">
                  <c:v>2</c:v>
                </c:pt>
                <c:pt idx="26">
                  <c:v>2</c:v>
                </c:pt>
                <c:pt idx="27">
                  <c:v>3</c:v>
                </c:pt>
                <c:pt idx="28">
                  <c:v>1</c:v>
                </c:pt>
                <c:pt idx="29">
                  <c:v>2</c:v>
                </c:pt>
                <c:pt idx="30">
                  <c:v>5</c:v>
                </c:pt>
                <c:pt idx="31">
                  <c:v>4</c:v>
                </c:pt>
                <c:pt idx="32">
                  <c:v>1</c:v>
                </c:pt>
                <c:pt idx="33">
                  <c:v>1</c:v>
                </c:pt>
                <c:pt idx="34">
                  <c:v>2</c:v>
                </c:pt>
                <c:pt idx="35">
                  <c:v>3</c:v>
                </c:pt>
                <c:pt idx="36">
                  <c:v>4</c:v>
                </c:pt>
                <c:pt idx="37">
                  <c:v>2</c:v>
                </c:pt>
                <c:pt idx="38">
                  <c:v>1</c:v>
                </c:pt>
              </c:numCache>
            </c:numRef>
          </c:val>
          <c:smooth val="0"/>
          <c:extLst>
            <c:ext xmlns:c16="http://schemas.microsoft.com/office/drawing/2014/chart" uri="{C3380CC4-5D6E-409C-BE32-E72D297353CC}">
              <c16:uniqueId val="{00000000-CDC3-4EE1-BDBE-B0F739ACACB2}"/>
            </c:ext>
          </c:extLst>
        </c:ser>
        <c:dLbls>
          <c:showLegendKey val="0"/>
          <c:showVal val="0"/>
          <c:showCatName val="0"/>
          <c:showSerName val="0"/>
          <c:showPercent val="0"/>
          <c:showBubbleSize val="0"/>
        </c:dLbls>
        <c:marker val="1"/>
        <c:smooth val="0"/>
        <c:axId val="1078450752"/>
        <c:axId val="1078458240"/>
      </c:lineChart>
      <c:catAx>
        <c:axId val="107845075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78458240"/>
        <c:crosses val="autoZero"/>
        <c:auto val="1"/>
        <c:lblAlgn val="ctr"/>
        <c:lblOffset val="100"/>
        <c:noMultiLvlLbl val="0"/>
      </c:catAx>
      <c:valAx>
        <c:axId val="107845824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78450752"/>
        <c:crosses val="autoZero"/>
        <c:crossBetween val="between"/>
      </c:valAx>
      <c:spPr>
        <a:noFill/>
        <a:ln>
          <a:noFill/>
        </a:ln>
        <a:effectLst/>
      </c:spPr>
    </c:plotArea>
    <c:plotVisOnly val="1"/>
    <c:dispBlanksAs val="zero"/>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[Employee_Data_with_Month.xlsx]Pivot Table!PivotTable2</c:name>
    <c:fmtId val="3"/>
  </c:pivotSource>
  <c:chart>
    <c:autoTitleDeleted val="1"/>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3"/>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dLbl>
          <c:idx val="0"/>
          <c:layout>
            <c:manualLayout>
              <c:x val="4.1237831592606827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ext>
          </c:extLst>
        </c:dLbl>
      </c:pivotFmt>
      <c:pivotFmt>
        <c:idx val="14"/>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dLbl>
          <c:idx val="0"/>
          <c:layout>
            <c:manualLayout>
              <c:x val="0.13496017612125871"/>
              <c:y val="-2.04310577818198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ext>
          </c:extLst>
        </c:dLbl>
      </c:pivotFmt>
      <c:pivotFmt>
        <c:idx val="15"/>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dLbl>
          <c:idx val="0"/>
          <c:layout>
            <c:manualLayout>
              <c:x val="-3.3740044030314678E-2"/>
              <c:y val="6.810352593939903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ext>
          </c:extLst>
        </c:dLbl>
      </c:pivotFmt>
      <c:pivotFmt>
        <c:idx val="16"/>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dLbl>
          <c:idx val="0"/>
          <c:layout>
            <c:manualLayout>
              <c:x val="0.12746238855896655"/>
              <c:y val="-1.36207051878799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ext>
          </c:extLst>
        </c:dLbl>
      </c:pivotFmt>
      <c:pivotFmt>
        <c:idx val="17"/>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ln>
          <a:effectLst/>
        </c:spPr>
        <c:dLbl>
          <c:idx val="0"/>
          <c:layout>
            <c:manualLayout>
              <c:x val="9.3722344528651885E-2"/>
              <c:y val="2.72414103757598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ext>
          </c:extLst>
        </c:dLbl>
      </c:pivotFmt>
      <c:pivotFmt>
        <c:idx val="18"/>
        <c:spPr>
          <a:gradFill>
            <a:gsLst>
              <a:gs pos="0">
                <a:schemeClr val="accent3">
                  <a:shade val="51000"/>
                </a:schemeClr>
              </a:gs>
              <a:gs pos="80000">
                <a:schemeClr val="accent3">
                  <a:shade val="93000"/>
                </a:schemeClr>
              </a:gs>
              <a:gs pos="100000">
                <a:schemeClr val="accent3">
                  <a:shade val="94000"/>
                </a:schemeClr>
              </a:gs>
            </a:gsLst>
            <a:lin ang="16200000" scaled="0"/>
            <a:tileRect/>
          </a:gradFill>
          <a:ln>
            <a:noFill/>
          </a:ln>
          <a:effectLst/>
        </c:spPr>
        <c:dLbl>
          <c:idx val="0"/>
          <c:layout>
            <c:manualLayout>
              <c:x val="-0.12746238855896658"/>
              <c:y val="6.810352593939966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ext>
          </c:extLst>
        </c:dLbl>
      </c:pivotFmt>
      <c:pivotFmt>
        <c:idx val="19"/>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3744040882424654"/>
          <c:y val="0.24058616222152629"/>
          <c:w val="0.28009020781845168"/>
          <c:h val="0.53243272113766393"/>
        </c:manualLayout>
      </c:layout>
      <c:pieChart>
        <c:varyColors val="1"/>
        <c:ser>
          <c:idx val="0"/>
          <c:order val="0"/>
          <c:tx>
            <c:strRef>
              <c:f>'Pivot Table'!$E$3</c:f>
              <c:strCache>
                <c:ptCount val="1"/>
                <c:pt idx="0">
                  <c:v>Total</c:v>
                </c:pt>
              </c:strCache>
            </c:strRef>
          </c:tx>
          <c:dPt>
            <c:idx val="0"/>
            <c:bubble3D val="0"/>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extLst>
              <c:ext xmlns:c16="http://schemas.microsoft.com/office/drawing/2014/chart" uri="{C3380CC4-5D6E-409C-BE32-E72D297353CC}">
                <c16:uniqueId val="{00000001-2AC1-4996-BC84-D922097FFBD5}"/>
              </c:ext>
            </c:extLst>
          </c:dPt>
          <c:dPt>
            <c:idx val="1"/>
            <c:bubble3D val="0"/>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ln>
              <a:effectLst/>
            </c:spPr>
            <c:extLst>
              <c:ext xmlns:c16="http://schemas.microsoft.com/office/drawing/2014/chart" uri="{C3380CC4-5D6E-409C-BE32-E72D297353CC}">
                <c16:uniqueId val="{00000003-2AC1-4996-BC84-D922097FFBD5}"/>
              </c:ext>
            </c:extLst>
          </c:dPt>
          <c:dPt>
            <c:idx val="2"/>
            <c:bubble3D val="0"/>
            <c:spPr>
              <a:gradFill>
                <a:gsLst>
                  <a:gs pos="0">
                    <a:schemeClr val="accent3">
                      <a:shade val="51000"/>
                    </a:schemeClr>
                  </a:gs>
                  <a:gs pos="80000">
                    <a:schemeClr val="accent3">
                      <a:shade val="93000"/>
                    </a:schemeClr>
                  </a:gs>
                  <a:gs pos="100000">
                    <a:schemeClr val="accent3">
                      <a:shade val="94000"/>
                    </a:schemeClr>
                  </a:gs>
                </a:gsLst>
                <a:lin ang="16200000" scaled="0"/>
                <a:tileRect/>
              </a:gradFill>
              <a:ln>
                <a:noFill/>
              </a:ln>
              <a:effectLst/>
            </c:spPr>
            <c:extLst>
              <c:ext xmlns:c16="http://schemas.microsoft.com/office/drawing/2014/chart" uri="{C3380CC4-5D6E-409C-BE32-E72D297353CC}">
                <c16:uniqueId val="{00000005-2AC1-4996-BC84-D922097FFBD5}"/>
              </c:ext>
            </c:extLst>
          </c:dPt>
          <c:dLbls>
            <c:dLbl>
              <c:idx val="0"/>
              <c:layout>
                <c:manualLayout>
                  <c:x val="0.12746238855896655"/>
                  <c:y val="-1.3620705187879932E-2"/>
                </c:manualLayout>
              </c:layout>
              <c:dLblPos val="bestFi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2AC1-4996-BC84-D922097FFBD5}"/>
                </c:ext>
              </c:extLst>
            </c:dLbl>
            <c:dLbl>
              <c:idx val="1"/>
              <c:layout>
                <c:manualLayout>
                  <c:x val="9.3722344528651885E-2"/>
                  <c:y val="2.7241410375759865E-2"/>
                </c:manualLayout>
              </c:layout>
              <c:dLblPos val="bestFi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3-2AC1-4996-BC84-D922097FFBD5}"/>
                </c:ext>
              </c:extLst>
            </c:dLbl>
            <c:dLbl>
              <c:idx val="2"/>
              <c:layout>
                <c:manualLayout>
                  <c:x val="-0.12746238855896658"/>
                  <c:y val="6.8103525939399662E-3"/>
                </c:manualLayout>
              </c:layout>
              <c:dLblPos val="bestFi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5-2AC1-4996-BC84-D922097FFBD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Table'!$D$4:$D$7</c:f>
              <c:strCache>
                <c:ptCount val="3"/>
                <c:pt idx="0">
                  <c:v>Female</c:v>
                </c:pt>
                <c:pt idx="1">
                  <c:v>Male</c:v>
                </c:pt>
                <c:pt idx="2">
                  <c:v>Other</c:v>
                </c:pt>
              </c:strCache>
            </c:strRef>
          </c:cat>
          <c:val>
            <c:numRef>
              <c:f>'Pivot Table'!$E$4:$E$7</c:f>
              <c:numCache>
                <c:formatCode>General</c:formatCode>
                <c:ptCount val="3"/>
                <c:pt idx="0">
                  <c:v>32</c:v>
                </c:pt>
                <c:pt idx="1">
                  <c:v>34</c:v>
                </c:pt>
                <c:pt idx="2">
                  <c:v>34</c:v>
                </c:pt>
              </c:numCache>
            </c:numRef>
          </c:val>
          <c:extLst>
            <c:ext xmlns:c16="http://schemas.microsoft.com/office/drawing/2014/chart" uri="{C3380CC4-5D6E-409C-BE32-E72D297353CC}">
              <c16:uniqueId val="{00000006-2AC1-4996-BC84-D922097FFBD5}"/>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[Employee_Data_with_Month.xlsx]Pivot Table!PivotTable3</c:name>
    <c:fmtId val="3"/>
  </c:pivotSource>
  <c:chart>
    <c:autoTitleDeleted val="1"/>
    <c:pivotFmts>
      <c:pivotFmt>
        <c:idx val="0"/>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none"/>
        </c:marker>
      </c:pivotFmt>
    </c:pivotFmts>
    <c:plotArea>
      <c:layout/>
      <c:barChart>
        <c:barDir val="col"/>
        <c:grouping val="clustered"/>
        <c:varyColors val="0"/>
        <c:ser>
          <c:idx val="0"/>
          <c:order val="0"/>
          <c:tx>
            <c:strRef>
              <c:f>'Pivot Table'!$E$11</c:f>
              <c:strCache>
                <c:ptCount val="1"/>
                <c:pt idx="0">
                  <c:v>Total</c:v>
                </c:pt>
              </c:strCache>
            </c:strRef>
          </c:tx>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invertIfNegative val="0"/>
          <c:cat>
            <c:strRef>
              <c:f>'Pivot Table'!$D$12:$D$18</c:f>
              <c:strCache>
                <c:ptCount val="6"/>
                <c:pt idx="0">
                  <c:v>Finance</c:v>
                </c:pt>
                <c:pt idx="1">
                  <c:v>HR</c:v>
                </c:pt>
                <c:pt idx="2">
                  <c:v>IT</c:v>
                </c:pt>
                <c:pt idx="3">
                  <c:v>Marketing</c:v>
                </c:pt>
                <c:pt idx="4">
                  <c:v>Operations</c:v>
                </c:pt>
                <c:pt idx="5">
                  <c:v>Sales</c:v>
                </c:pt>
              </c:strCache>
            </c:strRef>
          </c:cat>
          <c:val>
            <c:numRef>
              <c:f>'Pivot Table'!$E$12:$E$18</c:f>
              <c:numCache>
                <c:formatCode>General</c:formatCode>
                <c:ptCount val="6"/>
                <c:pt idx="0">
                  <c:v>21</c:v>
                </c:pt>
                <c:pt idx="1">
                  <c:v>14</c:v>
                </c:pt>
                <c:pt idx="2">
                  <c:v>12</c:v>
                </c:pt>
                <c:pt idx="3">
                  <c:v>22</c:v>
                </c:pt>
                <c:pt idx="4">
                  <c:v>19</c:v>
                </c:pt>
                <c:pt idx="5">
                  <c:v>12</c:v>
                </c:pt>
              </c:numCache>
            </c:numRef>
          </c:val>
          <c:extLst>
            <c:ext xmlns:c16="http://schemas.microsoft.com/office/drawing/2014/chart" uri="{C3380CC4-5D6E-409C-BE32-E72D297353CC}">
              <c16:uniqueId val="{00000000-192D-4385-8222-16872CF028FD}"/>
            </c:ext>
          </c:extLst>
        </c:ser>
        <c:dLbls>
          <c:showLegendKey val="0"/>
          <c:showVal val="0"/>
          <c:showCatName val="0"/>
          <c:showSerName val="0"/>
          <c:showPercent val="0"/>
          <c:showBubbleSize val="0"/>
        </c:dLbls>
        <c:gapWidth val="100"/>
        <c:overlap val="-24"/>
        <c:axId val="1046646368"/>
        <c:axId val="1046647200"/>
      </c:barChart>
      <c:catAx>
        <c:axId val="10466463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6647200"/>
        <c:crosses val="autoZero"/>
        <c:auto val="1"/>
        <c:lblAlgn val="ctr"/>
        <c:lblOffset val="100"/>
        <c:noMultiLvlLbl val="0"/>
      </c:catAx>
      <c:valAx>
        <c:axId val="104664720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6646368"/>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[Employee_Data_with_Month.xlsx]Pivot Table!PivotTable4</c:name>
    <c:fmtId val="4"/>
  </c:pivotSource>
  <c:chart>
    <c:autoTitleDeleted val="1"/>
    <c:pivotFmts>
      <c:pivotFmt>
        <c:idx val="0"/>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none"/>
        </c:marker>
      </c:pivotFmt>
    </c:pivotFmts>
    <c:plotArea>
      <c:layout/>
      <c:barChart>
        <c:barDir val="bar"/>
        <c:grouping val="clustered"/>
        <c:varyColors val="0"/>
        <c:ser>
          <c:idx val="0"/>
          <c:order val="0"/>
          <c:tx>
            <c:strRef>
              <c:f>'Pivot Table'!$H$3</c:f>
              <c:strCache>
                <c:ptCount val="1"/>
                <c:pt idx="0">
                  <c:v>Total</c:v>
                </c:pt>
              </c:strCache>
            </c:strRef>
          </c:tx>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invertIfNegative val="0"/>
          <c:cat>
            <c:strRef>
              <c:f>'Pivot Table'!$G$4:$G$10</c:f>
              <c:strCache>
                <c:ptCount val="6"/>
                <c:pt idx="0">
                  <c:v>Finance</c:v>
                </c:pt>
                <c:pt idx="1">
                  <c:v>HR</c:v>
                </c:pt>
                <c:pt idx="2">
                  <c:v>IT</c:v>
                </c:pt>
                <c:pt idx="3">
                  <c:v>Marketing</c:v>
                </c:pt>
                <c:pt idx="4">
                  <c:v>Operations</c:v>
                </c:pt>
                <c:pt idx="5">
                  <c:v>Sales</c:v>
                </c:pt>
              </c:strCache>
            </c:strRef>
          </c:cat>
          <c:val>
            <c:numRef>
              <c:f>'Pivot Table'!$H$4:$H$10</c:f>
              <c:numCache>
                <c:formatCode>0</c:formatCode>
                <c:ptCount val="6"/>
                <c:pt idx="0">
                  <c:v>1280467.857142857</c:v>
                </c:pt>
                <c:pt idx="1">
                  <c:v>993962.85714285716</c:v>
                </c:pt>
                <c:pt idx="2">
                  <c:v>1304953.5</c:v>
                </c:pt>
                <c:pt idx="3">
                  <c:v>1076073.9090909092</c:v>
                </c:pt>
                <c:pt idx="4">
                  <c:v>1111487.2631578948</c:v>
                </c:pt>
                <c:pt idx="5">
                  <c:v>1283128.3333333333</c:v>
                </c:pt>
              </c:numCache>
            </c:numRef>
          </c:val>
          <c:extLst>
            <c:ext xmlns:c16="http://schemas.microsoft.com/office/drawing/2014/chart" uri="{C3380CC4-5D6E-409C-BE32-E72D297353CC}">
              <c16:uniqueId val="{00000000-FB57-4BAC-9C43-B7D4B55F7D48}"/>
            </c:ext>
          </c:extLst>
        </c:ser>
        <c:dLbls>
          <c:showLegendKey val="0"/>
          <c:showVal val="0"/>
          <c:showCatName val="0"/>
          <c:showSerName val="0"/>
          <c:showPercent val="0"/>
          <c:showBubbleSize val="0"/>
        </c:dLbls>
        <c:gapWidth val="115"/>
        <c:overlap val="-20"/>
        <c:axId val="1357392368"/>
        <c:axId val="1357392784"/>
      </c:barChart>
      <c:catAx>
        <c:axId val="135739236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7392784"/>
        <c:crosses val="autoZero"/>
        <c:auto val="1"/>
        <c:lblAlgn val="ctr"/>
        <c:lblOffset val="100"/>
        <c:noMultiLvlLbl val="0"/>
      </c:catAx>
      <c:valAx>
        <c:axId val="1357392784"/>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7392368"/>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8988</xdr:colOff>
      <xdr:row>13</xdr:row>
      <xdr:rowOff>17971</xdr:rowOff>
    </xdr:from>
    <xdr:to>
      <xdr:col>13</xdr:col>
      <xdr:colOff>350449</xdr:colOff>
      <xdr:row>25</xdr:row>
      <xdr:rowOff>17971</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8985</xdr:colOff>
      <xdr:row>2</xdr:row>
      <xdr:rowOff>13234</xdr:rowOff>
    </xdr:from>
    <xdr:to>
      <xdr:col>13</xdr:col>
      <xdr:colOff>341462</xdr:colOff>
      <xdr:row>11</xdr:row>
      <xdr:rowOff>179717</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26956</xdr:colOff>
      <xdr:row>2</xdr:row>
      <xdr:rowOff>7307</xdr:rowOff>
    </xdr:from>
    <xdr:to>
      <xdr:col>6</xdr:col>
      <xdr:colOff>602052</xdr:colOff>
      <xdr:row>11</xdr:row>
      <xdr:rowOff>170731</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13</xdr:row>
      <xdr:rowOff>1</xdr:rowOff>
    </xdr:from>
    <xdr:to>
      <xdr:col>7</xdr:col>
      <xdr:colOff>0</xdr:colOff>
      <xdr:row>25</xdr:row>
      <xdr:rowOff>1</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11848</xdr:colOff>
      <xdr:row>2</xdr:row>
      <xdr:rowOff>10465</xdr:rowOff>
    </xdr:from>
    <xdr:to>
      <xdr:col>18</xdr:col>
      <xdr:colOff>116816</xdr:colOff>
      <xdr:row>18</xdr:row>
      <xdr:rowOff>8985</xdr:rowOff>
    </xdr:to>
    <mc:AlternateContent xmlns:mc="http://schemas.openxmlformats.org/markup-compatibility/2006" xmlns:a14="http://schemas.microsoft.com/office/drawing/2010/main">
      <mc:Choice Requires="a14">
        <xdr:graphicFrame macro="">
          <xdr:nvGraphicFramePr>
            <xdr:cNvPr id="6" name="Birth Month"/>
            <xdr:cNvGraphicFramePr/>
          </xdr:nvGraphicFramePr>
          <xdr:xfrm>
            <a:off x="0" y="0"/>
            <a:ext cx="0" cy="0"/>
          </xdr:xfrm>
          <a:graphic>
            <a:graphicData uri="http://schemas.microsoft.com/office/drawing/2010/slicer">
              <sle:slicer xmlns:sle="http://schemas.microsoft.com/office/drawing/2010/slicer" name="Birth Month"/>
            </a:graphicData>
          </a:graphic>
        </xdr:graphicFrame>
      </mc:Choice>
      <mc:Fallback xmlns="">
        <xdr:sp macro="" textlink="">
          <xdr:nvSpPr>
            <xdr:cNvPr id="0" name=""/>
            <xdr:cNvSpPr>
              <a:spLocks noTextEdit="1"/>
            </xdr:cNvSpPr>
          </xdr:nvSpPr>
          <xdr:spPr>
            <a:xfrm>
              <a:off x="9177414" y="387871"/>
              <a:ext cx="1938081" cy="30177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20487</xdr:colOff>
      <xdr:row>19</xdr:row>
      <xdr:rowOff>0</xdr:rowOff>
    </xdr:from>
    <xdr:to>
      <xdr:col>18</xdr:col>
      <xdr:colOff>152759</xdr:colOff>
      <xdr:row>24</xdr:row>
      <xdr:rowOff>170733</xdr:rowOff>
    </xdr:to>
    <mc:AlternateContent xmlns:mc="http://schemas.openxmlformats.org/markup-compatibility/2006" xmlns:a14="http://schemas.microsoft.com/office/drawing/2010/main">
      <mc:Choice Requires="a14">
        <xdr:graphicFrame macro="">
          <xdr:nvGraphicFramePr>
            <xdr:cNvPr id="7" name="Performance Ratings"/>
            <xdr:cNvGraphicFramePr/>
          </xdr:nvGraphicFramePr>
          <xdr:xfrm>
            <a:off x="0" y="0"/>
            <a:ext cx="0" cy="0"/>
          </xdr:xfrm>
          <a:graphic>
            <a:graphicData uri="http://schemas.microsoft.com/office/drawing/2010/slicer">
              <sle:slicer xmlns:sle="http://schemas.microsoft.com/office/drawing/2010/slicer" name="Performance Ratings"/>
            </a:graphicData>
          </a:graphic>
        </xdr:graphicFrame>
      </mc:Choice>
      <mc:Fallback xmlns="">
        <xdr:sp macro="" textlink="">
          <xdr:nvSpPr>
            <xdr:cNvPr id="0" name=""/>
            <xdr:cNvSpPr>
              <a:spLocks noTextEdit="1"/>
            </xdr:cNvSpPr>
          </xdr:nvSpPr>
          <xdr:spPr>
            <a:xfrm>
              <a:off x="9186053" y="3585354"/>
              <a:ext cx="1965385" cy="11142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4</xdr:col>
      <xdr:colOff>539150</xdr:colOff>
      <xdr:row>0</xdr:row>
      <xdr:rowOff>26958</xdr:rowOff>
    </xdr:from>
    <xdr:ext cx="2704741" cy="327141"/>
    <xdr:sp macro="" textlink="">
      <xdr:nvSpPr>
        <xdr:cNvPr id="8" name="TextBox 7"/>
        <xdr:cNvSpPr txBox="1"/>
      </xdr:nvSpPr>
      <xdr:spPr>
        <a:xfrm>
          <a:off x="2983301" y="26958"/>
          <a:ext cx="2704741" cy="327141"/>
        </a:xfrm>
        <a:prstGeom prst="rect">
          <a:avLst/>
        </a:prstGeom>
        <a:solidFill>
          <a:schemeClr val="tx1">
            <a:lumMod val="65000"/>
            <a:lumOff val="3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500">
              <a:solidFill>
                <a:schemeClr val="bg1"/>
              </a:solidFill>
            </a:rPr>
            <a:t>Employee Demographic Analysis</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FNAN" refreshedDate="46293.542893865742" createdVersion="6" refreshedVersion="6" minRefreshableVersion="3" recordCount="100">
  <cacheSource type="worksheet">
    <worksheetSource ref="A1:K101" sheet="Employees"/>
  </cacheSource>
  <cacheFields count="11">
    <cacheField name="Employee Id" numFmtId="0">
      <sharedItems/>
    </cacheField>
    <cacheField name="Age" numFmtId="0">
      <sharedItems containsSemiMixedTypes="0" containsString="0" containsNumber="1" containsInteger="1" minValue="24" maxValue="62" count="39">
        <n v="28"/>
        <n v="37"/>
        <n v="45"/>
        <n v="33"/>
        <n v="55"/>
        <n v="60"/>
        <n v="58"/>
        <n v="36"/>
        <n v="35"/>
        <n v="32"/>
        <n v="61"/>
        <n v="25"/>
        <n v="24"/>
        <n v="48"/>
        <n v="30"/>
        <n v="49"/>
        <n v="46"/>
        <n v="51"/>
        <n v="59"/>
        <n v="43"/>
        <n v="54"/>
        <n v="42"/>
        <n v="44"/>
        <n v="41"/>
        <n v="39"/>
        <n v="38"/>
        <n v="26"/>
        <n v="27"/>
        <n v="52"/>
        <n v="29"/>
        <n v="50"/>
        <n v="53"/>
        <n v="57"/>
        <n v="31"/>
        <n v="47"/>
        <n v="40"/>
        <n v="34"/>
        <n v="62"/>
        <n v="56"/>
      </sharedItems>
    </cacheField>
    <cacheField name="Date of Birth" numFmtId="164">
      <sharedItems containsSemiMixedTypes="0" containsNonDate="0" containsDate="1" containsString="0" minDate="1963-12-30T00:00:00" maxDate="2002-08-21T00:00:00"/>
    </cacheField>
    <cacheField name="Date of Joining" numFmtId="164">
      <sharedItems containsSemiMixedTypes="0" containsNonDate="0" containsDate="1" containsString="0" minDate="2014-10-30T00:00:00" maxDate="2024-07-31T00:00:00"/>
    </cacheField>
    <cacheField name="Gender" numFmtId="0">
      <sharedItems count="3">
        <s v="Other"/>
        <s v="Male"/>
        <s v="Female"/>
      </sharedItems>
    </cacheField>
    <cacheField name="Designation" numFmtId="0">
      <sharedItems/>
    </cacheField>
    <cacheField name="Department" numFmtId="0">
      <sharedItems count="6">
        <s v="Finance"/>
        <s v="Marketing"/>
        <s v="HR"/>
        <s v="Sales"/>
        <s v="Operations"/>
        <s v="IT"/>
      </sharedItems>
    </cacheField>
    <cacheField name="Annual CTC (INR)" numFmtId="3">
      <sharedItems containsSemiMixedTypes="0" containsString="0" containsNumber="1" containsInteger="1" minValue="309359" maxValue="1998467"/>
    </cacheField>
    <cacheField name="Performance Ratings" numFmtId="0">
      <sharedItems containsSemiMixedTypes="0" containsString="0" containsNumber="1" containsInteger="1" minValue="1" maxValue="5" count="5">
        <n v="1"/>
        <n v="2"/>
        <n v="4"/>
        <n v="3"/>
        <n v="5"/>
      </sharedItems>
    </cacheField>
    <cacheField name="Birth Month" numFmtId="0">
      <sharedItems count="12">
        <s v="Oct"/>
        <s v="May"/>
        <s v="Jun"/>
        <s v="Nov"/>
        <s v="Jan"/>
        <s v="Mar"/>
        <s v="Jul"/>
        <s v="Aug"/>
        <s v="Dec"/>
        <s v="Apr"/>
        <s v="Feb"/>
        <s v="Sep"/>
      </sharedItems>
    </cacheField>
    <cacheField name="Birth Month No." numFmtId="0">
      <sharedItems containsSemiMixedTypes="0" containsString="0" containsNumber="1" containsInteger="1" minValue="1" maxValue="12"/>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
  <r>
    <s v="EMP0001"/>
    <x v="0"/>
    <d v="1997-10-22T00:00:00"/>
    <d v="2021-11-07T00:00:00"/>
    <x v="0"/>
    <s v="Glass blower/designer"/>
    <x v="0"/>
    <n v="605711"/>
    <x v="0"/>
    <x v="0"/>
    <n v="10"/>
  </r>
  <r>
    <s v="EMP0002"/>
    <x v="1"/>
    <d v="1989-05-14T00:00:00"/>
    <d v="2023-02-18T00:00:00"/>
    <x v="0"/>
    <s v="Arts administrator"/>
    <x v="0"/>
    <n v="1784405"/>
    <x v="1"/>
    <x v="1"/>
    <n v="5"/>
  </r>
  <r>
    <s v="EMP0003"/>
    <x v="2"/>
    <d v="1980-10-31T00:00:00"/>
    <d v="2019-05-06T00:00:00"/>
    <x v="0"/>
    <s v="Agricultural consultant"/>
    <x v="1"/>
    <n v="417952"/>
    <x v="1"/>
    <x v="0"/>
    <n v="10"/>
  </r>
  <r>
    <s v="EMP0004"/>
    <x v="3"/>
    <d v="1992-10-17T00:00:00"/>
    <d v="2018-03-19T00:00:00"/>
    <x v="0"/>
    <s v="Insurance claims handler"/>
    <x v="2"/>
    <n v="1263395"/>
    <x v="2"/>
    <x v="0"/>
    <n v="10"/>
  </r>
  <r>
    <s v="EMP0005"/>
    <x v="4"/>
    <d v="1971-06-22T00:00:00"/>
    <d v="2018-10-28T00:00:00"/>
    <x v="0"/>
    <s v="Personal assistant"/>
    <x v="0"/>
    <n v="452315"/>
    <x v="0"/>
    <x v="2"/>
    <n v="6"/>
  </r>
  <r>
    <s v="EMP0006"/>
    <x v="5"/>
    <d v="1965-11-06T00:00:00"/>
    <d v="2017-11-05T00:00:00"/>
    <x v="0"/>
    <s v="Risk analyst"/>
    <x v="1"/>
    <n v="659783"/>
    <x v="0"/>
    <x v="3"/>
    <n v="11"/>
  </r>
  <r>
    <s v="EMP0007"/>
    <x v="6"/>
    <d v="1968-01-19T00:00:00"/>
    <d v="2017-08-29T00:00:00"/>
    <x v="0"/>
    <s v="Therapist, drama"/>
    <x v="1"/>
    <n v="1652713"/>
    <x v="1"/>
    <x v="4"/>
    <n v="1"/>
  </r>
  <r>
    <s v="EMP0008"/>
    <x v="4"/>
    <d v="1971-03-01T00:00:00"/>
    <d v="2016-06-12T00:00:00"/>
    <x v="1"/>
    <s v="Museum education officer"/>
    <x v="1"/>
    <n v="422579"/>
    <x v="3"/>
    <x v="5"/>
    <n v="3"/>
  </r>
  <r>
    <s v="EMP0009"/>
    <x v="7"/>
    <d v="1989-10-25T00:00:00"/>
    <d v="2024-04-05T00:00:00"/>
    <x v="2"/>
    <s v="Therapist, nutritional"/>
    <x v="3"/>
    <n v="1959157"/>
    <x v="4"/>
    <x v="0"/>
    <n v="10"/>
  </r>
  <r>
    <s v="EMP0010"/>
    <x v="5"/>
    <d v="1966-07-10T00:00:00"/>
    <d v="2022-09-28T00:00:00"/>
    <x v="1"/>
    <s v="Contractor"/>
    <x v="4"/>
    <n v="748242"/>
    <x v="3"/>
    <x v="6"/>
    <n v="7"/>
  </r>
  <r>
    <s v="EMP0011"/>
    <x v="8"/>
    <d v="1991-08-08T00:00:00"/>
    <d v="2020-07-02T00:00:00"/>
    <x v="2"/>
    <s v="Farm manager"/>
    <x v="0"/>
    <n v="674564"/>
    <x v="0"/>
    <x v="7"/>
    <n v="8"/>
  </r>
  <r>
    <s v="EMP0012"/>
    <x v="9"/>
    <d v="1993-11-26T00:00:00"/>
    <d v="2023-08-06T00:00:00"/>
    <x v="0"/>
    <s v="Pharmacologist"/>
    <x v="2"/>
    <n v="1035831"/>
    <x v="2"/>
    <x v="3"/>
    <n v="11"/>
  </r>
  <r>
    <s v="EMP0013"/>
    <x v="10"/>
    <d v="1965-07-31T00:00:00"/>
    <d v="2024-07-30T00:00:00"/>
    <x v="1"/>
    <s v="Photographer"/>
    <x v="3"/>
    <n v="1036326"/>
    <x v="3"/>
    <x v="6"/>
    <n v="7"/>
  </r>
  <r>
    <s v="EMP0014"/>
    <x v="5"/>
    <d v="1966-01-10T00:00:00"/>
    <d v="2019-08-22T00:00:00"/>
    <x v="2"/>
    <s v="Network engineer"/>
    <x v="1"/>
    <n v="610744"/>
    <x v="3"/>
    <x v="4"/>
    <n v="1"/>
  </r>
  <r>
    <s v="EMP0015"/>
    <x v="11"/>
    <d v="2000-12-17T00:00:00"/>
    <d v="2022-06-16T00:00:00"/>
    <x v="1"/>
    <s v="Theme park manager"/>
    <x v="1"/>
    <n v="1519160"/>
    <x v="0"/>
    <x v="8"/>
    <n v="12"/>
  </r>
  <r>
    <s v="EMP0016"/>
    <x v="12"/>
    <d v="2002-08-20T00:00:00"/>
    <d v="2017-10-01T00:00:00"/>
    <x v="2"/>
    <s v="Agricultural consultant"/>
    <x v="1"/>
    <n v="1139052"/>
    <x v="1"/>
    <x v="7"/>
    <n v="8"/>
  </r>
  <r>
    <s v="EMP0017"/>
    <x v="3"/>
    <d v="1993-07-11T00:00:00"/>
    <d v="2020-04-23T00:00:00"/>
    <x v="2"/>
    <s v="Administrator, local government"/>
    <x v="1"/>
    <n v="904474"/>
    <x v="0"/>
    <x v="6"/>
    <n v="7"/>
  </r>
  <r>
    <s v="EMP0018"/>
    <x v="13"/>
    <d v="1978-03-09T00:00:00"/>
    <d v="2021-08-17T00:00:00"/>
    <x v="0"/>
    <s v="Investment banker, operational"/>
    <x v="2"/>
    <n v="841377"/>
    <x v="3"/>
    <x v="5"/>
    <n v="3"/>
  </r>
  <r>
    <s v="EMP0019"/>
    <x v="14"/>
    <d v="1996-03-12T00:00:00"/>
    <d v="2020-08-25T00:00:00"/>
    <x v="0"/>
    <s v="Statistician"/>
    <x v="5"/>
    <n v="1249734"/>
    <x v="3"/>
    <x v="5"/>
    <n v="3"/>
  </r>
  <r>
    <s v="EMP0020"/>
    <x v="0"/>
    <d v="1998-04-08T00:00:00"/>
    <d v="2023-08-15T00:00:00"/>
    <x v="1"/>
    <s v="Designer, interior/spatial"/>
    <x v="3"/>
    <n v="974343"/>
    <x v="2"/>
    <x v="9"/>
    <n v="4"/>
  </r>
  <r>
    <s v="EMP0021"/>
    <x v="15"/>
    <d v="1976-11-26T00:00:00"/>
    <d v="2023-01-25T00:00:00"/>
    <x v="2"/>
    <s v="Architect"/>
    <x v="4"/>
    <n v="670775"/>
    <x v="3"/>
    <x v="3"/>
    <n v="11"/>
  </r>
  <r>
    <s v="EMP0022"/>
    <x v="2"/>
    <d v="1981-01-13T00:00:00"/>
    <d v="2024-07-02T00:00:00"/>
    <x v="0"/>
    <s v="Engineer, mining"/>
    <x v="0"/>
    <n v="1045048"/>
    <x v="2"/>
    <x v="4"/>
    <n v="1"/>
  </r>
  <r>
    <s v="EMP0023"/>
    <x v="9"/>
    <d v="1994-02-15T00:00:00"/>
    <d v="2018-11-29T00:00:00"/>
    <x v="1"/>
    <s v="Food technologist"/>
    <x v="3"/>
    <n v="1187633"/>
    <x v="3"/>
    <x v="10"/>
    <n v="2"/>
  </r>
  <r>
    <s v="EMP0024"/>
    <x v="16"/>
    <d v="1980-08-25T00:00:00"/>
    <d v="2019-01-07T00:00:00"/>
    <x v="2"/>
    <s v="Energy manager"/>
    <x v="0"/>
    <n v="1604229"/>
    <x v="1"/>
    <x v="7"/>
    <n v="8"/>
  </r>
  <r>
    <s v="EMP0025"/>
    <x v="17"/>
    <d v="1975-01-23T00:00:00"/>
    <d v="2022-05-09T00:00:00"/>
    <x v="2"/>
    <s v="Technical author"/>
    <x v="3"/>
    <n v="906745"/>
    <x v="3"/>
    <x v="4"/>
    <n v="1"/>
  </r>
  <r>
    <s v="EMP0026"/>
    <x v="18"/>
    <d v="1967-01-17T00:00:00"/>
    <d v="2020-01-01T00:00:00"/>
    <x v="1"/>
    <s v="IT trainer"/>
    <x v="0"/>
    <n v="1310509"/>
    <x v="2"/>
    <x v="4"/>
    <n v="1"/>
  </r>
  <r>
    <s v="EMP0027"/>
    <x v="19"/>
    <d v="1983-02-12T00:00:00"/>
    <d v="2017-08-31T00:00:00"/>
    <x v="0"/>
    <s v="Trading standards officer"/>
    <x v="2"/>
    <n v="1224425"/>
    <x v="2"/>
    <x v="10"/>
    <n v="2"/>
  </r>
  <r>
    <s v="EMP0028"/>
    <x v="20"/>
    <d v="1972-05-17T00:00:00"/>
    <d v="2019-12-08T00:00:00"/>
    <x v="2"/>
    <s v="Engineer, chemical"/>
    <x v="5"/>
    <n v="1256308"/>
    <x v="2"/>
    <x v="1"/>
    <n v="5"/>
  </r>
  <r>
    <s v="EMP0029"/>
    <x v="18"/>
    <d v="1967-05-04T00:00:00"/>
    <d v="2023-03-17T00:00:00"/>
    <x v="1"/>
    <s v="Pension scheme manager"/>
    <x v="5"/>
    <n v="1154131"/>
    <x v="3"/>
    <x v="1"/>
    <n v="5"/>
  </r>
  <r>
    <s v="EMP0030"/>
    <x v="21"/>
    <d v="1984-01-12T00:00:00"/>
    <d v="2020-08-08T00:00:00"/>
    <x v="0"/>
    <s v="Legal secretary"/>
    <x v="1"/>
    <n v="632752"/>
    <x v="2"/>
    <x v="4"/>
    <n v="1"/>
  </r>
  <r>
    <s v="EMP0031"/>
    <x v="22"/>
    <d v="1982-01-13T00:00:00"/>
    <d v="2023-04-26T00:00:00"/>
    <x v="2"/>
    <s v="Banker"/>
    <x v="2"/>
    <n v="730835"/>
    <x v="4"/>
    <x v="4"/>
    <n v="1"/>
  </r>
  <r>
    <s v="EMP0032"/>
    <x v="3"/>
    <d v="1993-04-26T00:00:00"/>
    <d v="2018-11-08T00:00:00"/>
    <x v="1"/>
    <s v="Operations geologist"/>
    <x v="4"/>
    <n v="832165"/>
    <x v="1"/>
    <x v="9"/>
    <n v="4"/>
  </r>
  <r>
    <s v="EMP0033"/>
    <x v="23"/>
    <d v="1985-03-10T00:00:00"/>
    <d v="2020-06-11T00:00:00"/>
    <x v="1"/>
    <s v="Film/video editor"/>
    <x v="0"/>
    <n v="1694686"/>
    <x v="3"/>
    <x v="5"/>
    <n v="3"/>
  </r>
  <r>
    <s v="EMP0034"/>
    <x v="13"/>
    <d v="1977-12-19T00:00:00"/>
    <d v="2023-11-04T00:00:00"/>
    <x v="1"/>
    <s v="Administrator, local government"/>
    <x v="4"/>
    <n v="1219375"/>
    <x v="2"/>
    <x v="8"/>
    <n v="12"/>
  </r>
  <r>
    <s v="EMP0035"/>
    <x v="24"/>
    <d v="1987-06-27T00:00:00"/>
    <d v="2019-02-14T00:00:00"/>
    <x v="1"/>
    <s v="Pharmacist, community"/>
    <x v="4"/>
    <n v="1945999"/>
    <x v="1"/>
    <x v="2"/>
    <n v="6"/>
  </r>
  <r>
    <s v="EMP0036"/>
    <x v="25"/>
    <d v="1988-04-26T00:00:00"/>
    <d v="2016-01-21T00:00:00"/>
    <x v="0"/>
    <s v="Cartographer"/>
    <x v="2"/>
    <n v="741170"/>
    <x v="3"/>
    <x v="9"/>
    <n v="4"/>
  </r>
  <r>
    <s v="EMP0037"/>
    <x v="14"/>
    <d v="1996-04-02T00:00:00"/>
    <d v="2022-08-21T00:00:00"/>
    <x v="2"/>
    <s v="Chiropodist"/>
    <x v="1"/>
    <n v="1719224"/>
    <x v="1"/>
    <x v="9"/>
    <n v="4"/>
  </r>
  <r>
    <s v="EMP0038"/>
    <x v="21"/>
    <d v="1984-05-10T00:00:00"/>
    <d v="2020-12-13T00:00:00"/>
    <x v="0"/>
    <s v="Clinical molecular geneticist"/>
    <x v="0"/>
    <n v="856209"/>
    <x v="4"/>
    <x v="1"/>
    <n v="5"/>
  </r>
  <r>
    <s v="EMP0039"/>
    <x v="7"/>
    <d v="1990-02-24T00:00:00"/>
    <d v="2024-07-06T00:00:00"/>
    <x v="1"/>
    <s v="Meteorologist"/>
    <x v="4"/>
    <n v="530131"/>
    <x v="3"/>
    <x v="10"/>
    <n v="2"/>
  </r>
  <r>
    <s v="EMP0040"/>
    <x v="6"/>
    <d v="1968-04-26T00:00:00"/>
    <d v="2023-05-18T00:00:00"/>
    <x v="2"/>
    <s v="Journalist, newspaper"/>
    <x v="4"/>
    <n v="1398387"/>
    <x v="2"/>
    <x v="9"/>
    <n v="4"/>
  </r>
  <r>
    <s v="EMP0041"/>
    <x v="13"/>
    <d v="1978-08-25T00:00:00"/>
    <d v="2016-02-26T00:00:00"/>
    <x v="0"/>
    <s v="Administrator, education"/>
    <x v="5"/>
    <n v="1024115"/>
    <x v="0"/>
    <x v="7"/>
    <n v="8"/>
  </r>
  <r>
    <s v="EMP0042"/>
    <x v="9"/>
    <d v="1994-01-25T00:00:00"/>
    <d v="2021-02-22T00:00:00"/>
    <x v="2"/>
    <s v="Mental health nurse"/>
    <x v="4"/>
    <n v="773998"/>
    <x v="2"/>
    <x v="4"/>
    <n v="1"/>
  </r>
  <r>
    <s v="EMP0043"/>
    <x v="26"/>
    <d v="1999-10-03T00:00:00"/>
    <d v="2022-07-27T00:00:00"/>
    <x v="1"/>
    <s v="Airline pilot"/>
    <x v="1"/>
    <n v="1470720"/>
    <x v="3"/>
    <x v="0"/>
    <n v="10"/>
  </r>
  <r>
    <s v="EMP0044"/>
    <x v="11"/>
    <d v="2000-09-28T00:00:00"/>
    <d v="2018-11-01T00:00:00"/>
    <x v="1"/>
    <s v="Management consultant"/>
    <x v="1"/>
    <n v="1532137"/>
    <x v="2"/>
    <x v="11"/>
    <n v="9"/>
  </r>
  <r>
    <s v="EMP0045"/>
    <x v="27"/>
    <d v="1999-03-17T00:00:00"/>
    <d v="2017-09-25T00:00:00"/>
    <x v="2"/>
    <s v="Heritage manager"/>
    <x v="1"/>
    <n v="1433241"/>
    <x v="0"/>
    <x v="5"/>
    <n v="3"/>
  </r>
  <r>
    <s v="EMP0046"/>
    <x v="26"/>
    <d v="2000-07-12T00:00:00"/>
    <d v="2014-12-07T00:00:00"/>
    <x v="2"/>
    <s v="Telecommunications researcher"/>
    <x v="2"/>
    <n v="1730143"/>
    <x v="0"/>
    <x v="6"/>
    <n v="7"/>
  </r>
  <r>
    <s v="EMP0047"/>
    <x v="28"/>
    <d v="1974-03-11T00:00:00"/>
    <d v="2019-03-30T00:00:00"/>
    <x v="1"/>
    <s v="IT consultant"/>
    <x v="0"/>
    <n v="1652224"/>
    <x v="0"/>
    <x v="5"/>
    <n v="3"/>
  </r>
  <r>
    <s v="EMP0048"/>
    <x v="29"/>
    <d v="1997-07-03T00:00:00"/>
    <d v="2015-10-10T00:00:00"/>
    <x v="0"/>
    <s v="Advertising copywriter"/>
    <x v="0"/>
    <n v="1863167"/>
    <x v="2"/>
    <x v="6"/>
    <n v="7"/>
  </r>
  <r>
    <s v="EMP0049"/>
    <x v="4"/>
    <d v="1971-04-22T00:00:00"/>
    <d v="2023-12-04T00:00:00"/>
    <x v="1"/>
    <s v="Insurance risk surveyor"/>
    <x v="4"/>
    <n v="777428"/>
    <x v="3"/>
    <x v="9"/>
    <n v="4"/>
  </r>
  <r>
    <s v="EMP0050"/>
    <x v="30"/>
    <d v="1976-09-19T00:00:00"/>
    <d v="2024-07-27T00:00:00"/>
    <x v="1"/>
    <s v="Scientist, marine"/>
    <x v="5"/>
    <n v="1998467"/>
    <x v="2"/>
    <x v="11"/>
    <n v="9"/>
  </r>
  <r>
    <s v="EMP0051"/>
    <x v="18"/>
    <d v="1967-05-27T00:00:00"/>
    <d v="2019-03-23T00:00:00"/>
    <x v="1"/>
    <s v="Solicitor, Scotland"/>
    <x v="3"/>
    <n v="1576414"/>
    <x v="0"/>
    <x v="1"/>
    <n v="5"/>
  </r>
  <r>
    <s v="EMP0052"/>
    <x v="20"/>
    <d v="1972-09-20T00:00:00"/>
    <d v="2017-08-07T00:00:00"/>
    <x v="2"/>
    <s v="Psychiatrist"/>
    <x v="4"/>
    <n v="1622443"/>
    <x v="4"/>
    <x v="11"/>
    <n v="9"/>
  </r>
  <r>
    <s v="EMP0053"/>
    <x v="25"/>
    <d v="1987-11-29T00:00:00"/>
    <d v="2023-12-25T00:00:00"/>
    <x v="0"/>
    <s v="Cartographer"/>
    <x v="4"/>
    <n v="737106"/>
    <x v="0"/>
    <x v="3"/>
    <n v="11"/>
  </r>
  <r>
    <s v="EMP0054"/>
    <x v="30"/>
    <d v="1976-03-12T00:00:00"/>
    <d v="2020-01-15T00:00:00"/>
    <x v="1"/>
    <s v="Fitness centre manager"/>
    <x v="2"/>
    <n v="710807"/>
    <x v="0"/>
    <x v="5"/>
    <n v="3"/>
  </r>
  <r>
    <s v="EMP0055"/>
    <x v="19"/>
    <d v="1982-10-16T00:00:00"/>
    <d v="2021-09-17T00:00:00"/>
    <x v="2"/>
    <s v="Designer, blown glass/stained glass"/>
    <x v="4"/>
    <n v="1338364"/>
    <x v="3"/>
    <x v="0"/>
    <n v="10"/>
  </r>
  <r>
    <s v="EMP0056"/>
    <x v="11"/>
    <d v="2001-09-11T00:00:00"/>
    <d v="2017-11-19T00:00:00"/>
    <x v="2"/>
    <s v="Corporate investment banker"/>
    <x v="1"/>
    <n v="620290"/>
    <x v="2"/>
    <x v="11"/>
    <n v="9"/>
  </r>
  <r>
    <s v="EMP0057"/>
    <x v="31"/>
    <d v="1973-05-16T00:00:00"/>
    <d v="2017-09-23T00:00:00"/>
    <x v="0"/>
    <s v="General practice doctor"/>
    <x v="1"/>
    <n v="1309792"/>
    <x v="3"/>
    <x v="1"/>
    <n v="5"/>
  </r>
  <r>
    <s v="EMP0058"/>
    <x v="2"/>
    <d v="1980-10-15T00:00:00"/>
    <d v="2019-06-06T00:00:00"/>
    <x v="0"/>
    <s v="Transport planner"/>
    <x v="1"/>
    <n v="1420133"/>
    <x v="2"/>
    <x v="0"/>
    <n v="10"/>
  </r>
  <r>
    <s v="EMP0059"/>
    <x v="17"/>
    <d v="1975-01-18T00:00:00"/>
    <d v="2018-07-14T00:00:00"/>
    <x v="0"/>
    <s v="Armed forces training and education officer"/>
    <x v="5"/>
    <n v="1499654"/>
    <x v="0"/>
    <x v="4"/>
    <n v="1"/>
  </r>
  <r>
    <s v="EMP0060"/>
    <x v="19"/>
    <d v="1983-01-21T00:00:00"/>
    <d v="2022-12-08T00:00:00"/>
    <x v="1"/>
    <s v="Teacher, primary school"/>
    <x v="1"/>
    <n v="958920"/>
    <x v="0"/>
    <x v="4"/>
    <n v="1"/>
  </r>
  <r>
    <s v="EMP0061"/>
    <x v="20"/>
    <d v="1972-05-09T00:00:00"/>
    <d v="2015-05-10T00:00:00"/>
    <x v="1"/>
    <s v="Advertising account planner"/>
    <x v="0"/>
    <n v="1308372"/>
    <x v="0"/>
    <x v="1"/>
    <n v="5"/>
  </r>
  <r>
    <s v="EMP0062"/>
    <x v="32"/>
    <d v="1968-12-12T00:00:00"/>
    <d v="2018-11-30T00:00:00"/>
    <x v="2"/>
    <s v="Operational researcher"/>
    <x v="4"/>
    <n v="1410289"/>
    <x v="2"/>
    <x v="8"/>
    <n v="12"/>
  </r>
  <r>
    <s v="EMP0063"/>
    <x v="1"/>
    <d v="1989-03-17T00:00:00"/>
    <d v="2014-10-30T00:00:00"/>
    <x v="2"/>
    <s v="Acupuncturist"/>
    <x v="0"/>
    <n v="1969455"/>
    <x v="0"/>
    <x v="5"/>
    <n v="3"/>
  </r>
  <r>
    <s v="EMP0064"/>
    <x v="16"/>
    <d v="1979-11-21T00:00:00"/>
    <d v="2021-12-27T00:00:00"/>
    <x v="1"/>
    <s v="Data scientist"/>
    <x v="3"/>
    <n v="1394020"/>
    <x v="3"/>
    <x v="3"/>
    <n v="11"/>
  </r>
  <r>
    <s v="EMP0065"/>
    <x v="33"/>
    <d v="1995-07-19T00:00:00"/>
    <d v="2015-02-18T00:00:00"/>
    <x v="2"/>
    <s v="Television camera operator"/>
    <x v="2"/>
    <n v="1071689"/>
    <x v="3"/>
    <x v="6"/>
    <n v="7"/>
  </r>
  <r>
    <s v="EMP0066"/>
    <x v="34"/>
    <d v="1978-10-31T00:00:00"/>
    <d v="2018-01-25T00:00:00"/>
    <x v="0"/>
    <s v="Forensic scientist"/>
    <x v="2"/>
    <n v="1343498"/>
    <x v="0"/>
    <x v="0"/>
    <n v="10"/>
  </r>
  <r>
    <s v="EMP0067"/>
    <x v="20"/>
    <d v="1972-04-19T00:00:00"/>
    <d v="2017-07-22T00:00:00"/>
    <x v="1"/>
    <s v="Programmer, systems"/>
    <x v="0"/>
    <n v="870810"/>
    <x v="4"/>
    <x v="9"/>
    <n v="4"/>
  </r>
  <r>
    <s v="EMP0068"/>
    <x v="20"/>
    <d v="1971-11-05T00:00:00"/>
    <d v="2023-03-20T00:00:00"/>
    <x v="0"/>
    <s v="Product designer"/>
    <x v="0"/>
    <n v="1461759"/>
    <x v="2"/>
    <x v="3"/>
    <n v="11"/>
  </r>
  <r>
    <s v="EMP0069"/>
    <x v="8"/>
    <d v="1990-12-27T00:00:00"/>
    <d v="2015-10-16T00:00:00"/>
    <x v="1"/>
    <s v="Futures trader"/>
    <x v="3"/>
    <n v="386904"/>
    <x v="4"/>
    <x v="8"/>
    <n v="12"/>
  </r>
  <r>
    <s v="EMP0070"/>
    <x v="34"/>
    <d v="1979-07-14T00:00:00"/>
    <d v="2021-05-16T00:00:00"/>
    <x v="2"/>
    <s v="Tax inspector"/>
    <x v="2"/>
    <n v="320737"/>
    <x v="0"/>
    <x v="6"/>
    <n v="7"/>
  </r>
  <r>
    <s v="EMP0071"/>
    <x v="35"/>
    <d v="1986-01-21T00:00:00"/>
    <d v="2019-10-30T00:00:00"/>
    <x v="1"/>
    <s v="Firefighter"/>
    <x v="0"/>
    <n v="1870113"/>
    <x v="4"/>
    <x v="4"/>
    <n v="1"/>
  </r>
  <r>
    <s v="EMP0072"/>
    <x v="15"/>
    <d v="1976-10-26T00:00:00"/>
    <d v="2021-08-16T00:00:00"/>
    <x v="0"/>
    <s v="Event organiser"/>
    <x v="0"/>
    <n v="984007"/>
    <x v="2"/>
    <x v="0"/>
    <n v="10"/>
  </r>
  <r>
    <s v="EMP0073"/>
    <x v="5"/>
    <d v="1966-07-17T00:00:00"/>
    <d v="2018-07-09T00:00:00"/>
    <x v="1"/>
    <s v="Engineer, site"/>
    <x v="5"/>
    <n v="1016713"/>
    <x v="2"/>
    <x v="6"/>
    <n v="7"/>
  </r>
  <r>
    <s v="EMP0074"/>
    <x v="7"/>
    <d v="1990-02-02T00:00:00"/>
    <d v="2019-09-20T00:00:00"/>
    <x v="2"/>
    <s v="Surgeon"/>
    <x v="4"/>
    <n v="654361"/>
    <x v="4"/>
    <x v="10"/>
    <n v="2"/>
  </r>
  <r>
    <s v="EMP0075"/>
    <x v="33"/>
    <d v="1995-08-02T00:00:00"/>
    <d v="2024-05-26T00:00:00"/>
    <x v="1"/>
    <s v="Development worker, international aid"/>
    <x v="1"/>
    <n v="1428739"/>
    <x v="1"/>
    <x v="7"/>
    <n v="8"/>
  </r>
  <r>
    <s v="EMP0076"/>
    <x v="2"/>
    <d v="1981-03-21T00:00:00"/>
    <d v="2017-03-16T00:00:00"/>
    <x v="0"/>
    <s v="Surveyor, building"/>
    <x v="5"/>
    <n v="1622854"/>
    <x v="2"/>
    <x v="5"/>
    <n v="3"/>
  </r>
  <r>
    <s v="EMP0077"/>
    <x v="31"/>
    <d v="1973-04-03T00:00:00"/>
    <d v="2015-09-07T00:00:00"/>
    <x v="2"/>
    <s v="Museum/gallery curator"/>
    <x v="1"/>
    <n v="1278039"/>
    <x v="0"/>
    <x v="9"/>
    <n v="4"/>
  </r>
  <r>
    <s v="EMP0078"/>
    <x v="3"/>
    <d v="1993-06-12T00:00:00"/>
    <d v="2023-10-20T00:00:00"/>
    <x v="1"/>
    <s v="Engineer, structural"/>
    <x v="2"/>
    <n v="347883"/>
    <x v="0"/>
    <x v="2"/>
    <n v="6"/>
  </r>
  <r>
    <s v="EMP0079"/>
    <x v="19"/>
    <d v="1983-06-17T00:00:00"/>
    <d v="2017-01-23T00:00:00"/>
    <x v="2"/>
    <s v="Surveyor, mining"/>
    <x v="1"/>
    <n v="1339442"/>
    <x v="0"/>
    <x v="2"/>
    <n v="6"/>
  </r>
  <r>
    <s v="EMP0080"/>
    <x v="2"/>
    <d v="1981-06-30T00:00:00"/>
    <d v="2023-03-05T00:00:00"/>
    <x v="0"/>
    <s v="Clothing/textile technologist"/>
    <x v="4"/>
    <n v="386107"/>
    <x v="1"/>
    <x v="2"/>
    <n v="6"/>
  </r>
  <r>
    <s v="EMP0081"/>
    <x v="0"/>
    <d v="1998-08-10T00:00:00"/>
    <d v="2019-02-26T00:00:00"/>
    <x v="1"/>
    <s v="Nurse, learning disability"/>
    <x v="5"/>
    <n v="1149792"/>
    <x v="0"/>
    <x v="7"/>
    <n v="8"/>
  </r>
  <r>
    <s v="EMP0082"/>
    <x v="19"/>
    <d v="1983-04-20T00:00:00"/>
    <d v="2023-03-10T00:00:00"/>
    <x v="2"/>
    <s v="Archivist"/>
    <x v="3"/>
    <n v="1761132"/>
    <x v="4"/>
    <x v="9"/>
    <n v="4"/>
  </r>
  <r>
    <s v="EMP0083"/>
    <x v="36"/>
    <d v="1992-08-25T00:00:00"/>
    <d v="2020-11-04T00:00:00"/>
    <x v="2"/>
    <s v="Financial manager"/>
    <x v="4"/>
    <n v="1900121"/>
    <x v="1"/>
    <x v="7"/>
    <n v="8"/>
  </r>
  <r>
    <s v="EMP0084"/>
    <x v="17"/>
    <d v="1975-04-27T00:00:00"/>
    <d v="2023-05-02T00:00:00"/>
    <x v="1"/>
    <s v="Communications engineer"/>
    <x v="3"/>
    <n v="1758090"/>
    <x v="2"/>
    <x v="9"/>
    <n v="4"/>
  </r>
  <r>
    <s v="EMP0085"/>
    <x v="37"/>
    <d v="1963-12-30T00:00:00"/>
    <d v="2019-01-12T00:00:00"/>
    <x v="2"/>
    <s v="Clinical research associate"/>
    <x v="3"/>
    <n v="836660"/>
    <x v="1"/>
    <x v="8"/>
    <n v="12"/>
  </r>
  <r>
    <s v="EMP0086"/>
    <x v="4"/>
    <d v="1971-09-09T00:00:00"/>
    <d v="2018-09-10T00:00:00"/>
    <x v="1"/>
    <s v="Development worker, international aid"/>
    <x v="0"/>
    <n v="697636"/>
    <x v="0"/>
    <x v="11"/>
    <n v="9"/>
  </r>
  <r>
    <s v="EMP0087"/>
    <x v="33"/>
    <d v="1995-04-01T00:00:00"/>
    <d v="2023-03-09T00:00:00"/>
    <x v="0"/>
    <s v="Teacher, English as a foreign language"/>
    <x v="4"/>
    <n v="1934943"/>
    <x v="0"/>
    <x v="9"/>
    <n v="4"/>
  </r>
  <r>
    <s v="EMP0088"/>
    <x v="0"/>
    <d v="1998-01-16T00:00:00"/>
    <d v="2015-06-24T00:00:00"/>
    <x v="0"/>
    <s v="Hotel manager"/>
    <x v="4"/>
    <n v="1559508"/>
    <x v="4"/>
    <x v="4"/>
    <n v="1"/>
  </r>
  <r>
    <s v="EMP0089"/>
    <x v="13"/>
    <d v="1978-08-27T00:00:00"/>
    <d v="2023-01-23T00:00:00"/>
    <x v="0"/>
    <s v="Engineer, automotive"/>
    <x v="2"/>
    <n v="1058915"/>
    <x v="2"/>
    <x v="7"/>
    <n v="8"/>
  </r>
  <r>
    <s v="EMP0090"/>
    <x v="38"/>
    <d v="1970-06-17T00:00:00"/>
    <d v="2017-12-01T00:00:00"/>
    <x v="0"/>
    <s v="Research officer, political party"/>
    <x v="0"/>
    <n v="1083308"/>
    <x v="2"/>
    <x v="2"/>
    <n v="6"/>
  </r>
  <r>
    <s v="EMP0091"/>
    <x v="25"/>
    <d v="1988-05-09T00:00:00"/>
    <d v="2015-11-06T00:00:00"/>
    <x v="2"/>
    <s v="Scientist, research (physical sciences)"/>
    <x v="0"/>
    <n v="1486660"/>
    <x v="1"/>
    <x v="1"/>
    <n v="5"/>
  </r>
  <r>
    <s v="EMP0092"/>
    <x v="10"/>
    <d v="1965-07-24T00:00:00"/>
    <d v="2022-05-22T00:00:00"/>
    <x v="0"/>
    <s v="Electrical engineer"/>
    <x v="3"/>
    <n v="1620116"/>
    <x v="0"/>
    <x v="6"/>
    <n v="7"/>
  </r>
  <r>
    <s v="EMP0093"/>
    <x v="11"/>
    <d v="2000-10-16T00:00:00"/>
    <d v="2020-06-19T00:00:00"/>
    <x v="0"/>
    <s v="Chief of Staff"/>
    <x v="5"/>
    <n v="1854408"/>
    <x v="0"/>
    <x v="0"/>
    <n v="10"/>
  </r>
  <r>
    <s v="EMP0094"/>
    <x v="12"/>
    <d v="2002-08-08T00:00:00"/>
    <d v="2016-03-29T00:00:00"/>
    <x v="1"/>
    <s v="Graphic designer"/>
    <x v="0"/>
    <n v="1614638"/>
    <x v="1"/>
    <x v="7"/>
    <n v="8"/>
  </r>
  <r>
    <s v="EMP0095"/>
    <x v="16"/>
    <d v="1980-08-07T00:00:00"/>
    <d v="2015-01-30T00:00:00"/>
    <x v="0"/>
    <s v="Field seismologist"/>
    <x v="5"/>
    <n v="309359"/>
    <x v="3"/>
    <x v="7"/>
    <n v="8"/>
  </r>
  <r>
    <s v="EMP0096"/>
    <x v="19"/>
    <d v="1983-07-08T00:00:00"/>
    <d v="2015-11-24T00:00:00"/>
    <x v="1"/>
    <s v="Arts development officer"/>
    <x v="4"/>
    <n v="678516"/>
    <x v="0"/>
    <x v="6"/>
    <n v="7"/>
  </r>
  <r>
    <s v="EMP0097"/>
    <x v="33"/>
    <d v="1995-05-17T00:00:00"/>
    <d v="2019-08-26T00:00:00"/>
    <x v="2"/>
    <s v="Medical secretary"/>
    <x v="5"/>
    <n v="1523907"/>
    <x v="2"/>
    <x v="1"/>
    <n v="5"/>
  </r>
  <r>
    <s v="EMP0098"/>
    <x v="13"/>
    <d v="1978-07-13T00:00:00"/>
    <d v="2017-03-22T00:00:00"/>
    <x v="2"/>
    <s v="Historic buildings inspector/conservation officer"/>
    <x v="2"/>
    <n v="1494775"/>
    <x v="1"/>
    <x v="6"/>
    <n v="7"/>
  </r>
  <r>
    <s v="EMP0099"/>
    <x v="9"/>
    <d v="1993-11-17T00:00:00"/>
    <d v="2020-08-10T00:00:00"/>
    <x v="2"/>
    <s v="Building control surveyor"/>
    <x v="1"/>
    <n v="802479"/>
    <x v="1"/>
    <x v="3"/>
    <n v="11"/>
  </r>
  <r>
    <s v="EMP0100"/>
    <x v="23"/>
    <d v="1984-10-13T00:00:00"/>
    <d v="2023-08-10T00:00:00"/>
    <x v="0"/>
    <s v="Water quality scientist"/>
    <x v="1"/>
    <n v="401261"/>
    <x v="4"/>
    <x v="0"/>
    <n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G3:H10" firstHeaderRow="1" firstDataRow="1" firstDataCol="1"/>
  <pivotFields count="11">
    <pivotField showAll="0"/>
    <pivotField showAll="0"/>
    <pivotField numFmtId="164" showAll="0"/>
    <pivotField numFmtId="164" showAll="0"/>
    <pivotField showAll="0"/>
    <pivotField showAll="0"/>
    <pivotField axis="axisRow" showAll="0">
      <items count="7">
        <item x="0"/>
        <item x="2"/>
        <item x="5"/>
        <item x="1"/>
        <item x="4"/>
        <item x="3"/>
        <item t="default"/>
      </items>
    </pivotField>
    <pivotField dataField="1" numFmtId="3" showAll="0"/>
    <pivotField showAll="0">
      <items count="6">
        <item x="0"/>
        <item x="1"/>
        <item x="3"/>
        <item x="2"/>
        <item x="4"/>
        <item t="default"/>
      </items>
    </pivotField>
    <pivotField showAll="0">
      <items count="13">
        <item x="4"/>
        <item x="10"/>
        <item x="5"/>
        <item x="9"/>
        <item x="1"/>
        <item x="2"/>
        <item x="6"/>
        <item x="7"/>
        <item x="11"/>
        <item x="0"/>
        <item x="3"/>
        <item x="8"/>
        <item t="default"/>
      </items>
    </pivotField>
    <pivotField showAll="0"/>
  </pivotFields>
  <rowFields count="1">
    <field x="6"/>
  </rowFields>
  <rowItems count="7">
    <i>
      <x/>
    </i>
    <i>
      <x v="1"/>
    </i>
    <i>
      <x v="2"/>
    </i>
    <i>
      <x v="3"/>
    </i>
    <i>
      <x v="4"/>
    </i>
    <i>
      <x v="5"/>
    </i>
    <i t="grand">
      <x/>
    </i>
  </rowItems>
  <colItems count="1">
    <i/>
  </colItems>
  <dataFields count="1">
    <dataField name="Average Annual CTC by Department" fld="7" subtotal="average" baseField="6" baseItem="0"/>
  </dataFields>
  <formats count="3">
    <format dxfId="56">
      <pivotArea collapsedLevelsAreSubtotals="1" fieldPosition="0">
        <references count="1">
          <reference field="6" count="0"/>
        </references>
      </pivotArea>
    </format>
    <format dxfId="55">
      <pivotArea grandRow="1" outline="0" collapsedLevelsAreSubtotals="1" fieldPosition="0"/>
    </format>
    <format dxfId="54">
      <pivotArea grandRow="1" outline="0" collapsedLevelsAreSubtotals="1" fieldPosition="0"/>
    </format>
  </formats>
  <chartFormats count="2">
    <chartFormat chart="1"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D11:E18" firstHeaderRow="1" firstDataRow="1" firstDataCol="1"/>
  <pivotFields count="11">
    <pivotField dataField="1" showAll="0"/>
    <pivotField showAll="0"/>
    <pivotField numFmtId="164" showAll="0"/>
    <pivotField numFmtId="164" showAll="0"/>
    <pivotField showAll="0"/>
    <pivotField showAll="0"/>
    <pivotField axis="axisRow" showAll="0">
      <items count="7">
        <item x="0"/>
        <item x="2"/>
        <item x="5"/>
        <item x="1"/>
        <item x="4"/>
        <item x="3"/>
        <item t="default"/>
      </items>
    </pivotField>
    <pivotField numFmtId="3" showAll="0"/>
    <pivotField showAll="0">
      <items count="6">
        <item x="0"/>
        <item x="1"/>
        <item x="3"/>
        <item x="2"/>
        <item x="4"/>
        <item t="default"/>
      </items>
    </pivotField>
    <pivotField showAll="0">
      <items count="13">
        <item x="4"/>
        <item x="10"/>
        <item x="5"/>
        <item x="9"/>
        <item x="1"/>
        <item x="2"/>
        <item x="6"/>
        <item x="7"/>
        <item x="11"/>
        <item x="0"/>
        <item x="3"/>
        <item x="8"/>
        <item t="default"/>
      </items>
    </pivotField>
    <pivotField showAll="0"/>
  </pivotFields>
  <rowFields count="1">
    <field x="6"/>
  </rowFields>
  <rowItems count="7">
    <i>
      <x/>
    </i>
    <i>
      <x v="1"/>
    </i>
    <i>
      <x v="2"/>
    </i>
    <i>
      <x v="3"/>
    </i>
    <i>
      <x v="4"/>
    </i>
    <i>
      <x v="5"/>
    </i>
    <i t="grand">
      <x/>
    </i>
  </rowItems>
  <colItems count="1">
    <i/>
  </colItems>
  <dataFields count="1">
    <dataField name="Total of Employee ID by Department" fld="0" subtotal="count" baseField="6" baseItem="0"/>
  </dataFields>
  <chartFormats count="3">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D3:E7" firstHeaderRow="1" firstDataRow="1" firstDataCol="1"/>
  <pivotFields count="11">
    <pivotField dataField="1" showAll="0"/>
    <pivotField showAll="0"/>
    <pivotField numFmtId="164" showAll="0"/>
    <pivotField numFmtId="164" showAll="0"/>
    <pivotField axis="axisRow" showAll="0">
      <items count="4">
        <item x="2"/>
        <item x="1"/>
        <item x="0"/>
        <item t="default"/>
      </items>
    </pivotField>
    <pivotField showAll="0"/>
    <pivotField showAll="0"/>
    <pivotField numFmtId="3" showAll="0"/>
    <pivotField showAll="0">
      <items count="6">
        <item x="0"/>
        <item x="1"/>
        <item x="3"/>
        <item x="2"/>
        <item x="4"/>
        <item t="default"/>
      </items>
    </pivotField>
    <pivotField showAll="0">
      <items count="13">
        <item x="4"/>
        <item x="10"/>
        <item x="5"/>
        <item x="9"/>
        <item x="1"/>
        <item x="2"/>
        <item x="6"/>
        <item x="7"/>
        <item x="11"/>
        <item x="0"/>
        <item x="3"/>
        <item x="8"/>
        <item t="default"/>
      </items>
    </pivotField>
    <pivotField showAll="0"/>
  </pivotFields>
  <rowFields count="1">
    <field x="4"/>
  </rowFields>
  <rowItems count="4">
    <i>
      <x/>
    </i>
    <i>
      <x v="1"/>
    </i>
    <i>
      <x v="2"/>
    </i>
    <i t="grand">
      <x/>
    </i>
  </rowItems>
  <colItems count="1">
    <i/>
  </colItems>
  <dataFields count="1">
    <dataField name="Employee Percentage by Gender" fld="0" subtotal="count" baseField="4" baseItem="0"/>
  </dataField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4" count="1" selected="0">
            <x v="0"/>
          </reference>
        </references>
      </pivotArea>
    </chartFormat>
    <chartFormat chart="1" format="2">
      <pivotArea type="data" outline="0" fieldPosition="0">
        <references count="2">
          <reference field="4294967294" count="1" selected="0">
            <x v="0"/>
          </reference>
          <reference field="4" count="1" selected="0">
            <x v="1"/>
          </reference>
        </references>
      </pivotArea>
    </chartFormat>
    <chartFormat chart="1" format="3">
      <pivotArea type="data" outline="0" fieldPosition="0">
        <references count="2">
          <reference field="4294967294" count="1" selected="0">
            <x v="0"/>
          </reference>
          <reference field="4" count="1" selected="0">
            <x v="2"/>
          </reference>
        </references>
      </pivotArea>
    </chartFormat>
    <chartFormat chart="3" format="16">
      <pivotArea type="data" outline="0" fieldPosition="0">
        <references count="2">
          <reference field="4294967294" count="1" selected="0">
            <x v="0"/>
          </reference>
          <reference field="4" count="1" selected="0">
            <x v="0"/>
          </reference>
        </references>
      </pivotArea>
    </chartFormat>
    <chartFormat chart="3" format="17">
      <pivotArea type="data" outline="0" fieldPosition="0">
        <references count="2">
          <reference field="4294967294" count="1" selected="0">
            <x v="0"/>
          </reference>
          <reference field="4" count="1" selected="0">
            <x v="1"/>
          </reference>
        </references>
      </pivotArea>
    </chartFormat>
    <chartFormat chart="3" format="18">
      <pivotArea type="data" outline="0" fieldPosition="0">
        <references count="2">
          <reference field="4294967294" count="1" selected="0">
            <x v="0"/>
          </reference>
          <reference field="4" count="1" selected="0">
            <x v="2"/>
          </reference>
        </references>
      </pivotArea>
    </chartFormat>
    <chartFormat chart="3" format="1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2">
  <location ref="A3:B43" firstHeaderRow="1" firstDataRow="1" firstDataCol="1"/>
  <pivotFields count="11">
    <pivotField showAll="0"/>
    <pivotField axis="axisRow" dataField="1" showAll="0">
      <items count="40">
        <item x="12"/>
        <item x="11"/>
        <item x="26"/>
        <item x="27"/>
        <item x="0"/>
        <item x="29"/>
        <item x="14"/>
        <item x="33"/>
        <item x="9"/>
        <item x="3"/>
        <item x="36"/>
        <item x="8"/>
        <item x="7"/>
        <item x="1"/>
        <item x="25"/>
        <item x="24"/>
        <item x="35"/>
        <item x="23"/>
        <item x="21"/>
        <item x="19"/>
        <item x="22"/>
        <item x="2"/>
        <item x="16"/>
        <item x="34"/>
        <item x="13"/>
        <item x="15"/>
        <item x="30"/>
        <item x="17"/>
        <item x="28"/>
        <item x="31"/>
        <item x="20"/>
        <item x="4"/>
        <item x="38"/>
        <item x="32"/>
        <item x="6"/>
        <item x="18"/>
        <item x="5"/>
        <item x="10"/>
        <item x="37"/>
        <item t="default"/>
      </items>
    </pivotField>
    <pivotField numFmtId="164" showAll="0"/>
    <pivotField numFmtId="164" showAll="0"/>
    <pivotField showAll="0"/>
    <pivotField showAll="0"/>
    <pivotField showAll="0"/>
    <pivotField numFmtId="3" showAll="0"/>
    <pivotField showAll="0">
      <items count="6">
        <item x="0"/>
        <item x="1"/>
        <item x="3"/>
        <item x="2"/>
        <item x="4"/>
        <item t="default"/>
      </items>
    </pivotField>
    <pivotField showAll="0">
      <items count="13">
        <item x="4"/>
        <item x="10"/>
        <item x="5"/>
        <item x="9"/>
        <item x="1"/>
        <item x="2"/>
        <item x="6"/>
        <item x="7"/>
        <item x="11"/>
        <item x="0"/>
        <item x="3"/>
        <item x="8"/>
        <item t="default"/>
      </items>
    </pivotField>
    <pivotField showAll="0"/>
  </pivotFields>
  <rowFields count="1">
    <field x="1"/>
  </rowFields>
  <rowItems count="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t="grand">
      <x/>
    </i>
  </rowItems>
  <colItems count="1">
    <i/>
  </colItems>
  <dataFields count="1">
    <dataField name="Age Distribution" fld="1" subtotal="count" baseField="1" baseItem="0"/>
  </dataFields>
  <chartFormats count="2">
    <chartFormat chart="19" format="0"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Birth_Month" sourceName="Birth Month">
  <pivotTables>
    <pivotTable tabId="2" name="PivotTable4"/>
    <pivotTable tabId="2" name="PivotTable1"/>
    <pivotTable tabId="2" name="PivotTable2"/>
    <pivotTable tabId="2" name="PivotTable3"/>
  </pivotTables>
  <data>
    <tabular pivotCacheId="1">
      <items count="12">
        <i x="4" s="1"/>
        <i x="10" s="1"/>
        <i x="5" s="1"/>
        <i x="9" s="1"/>
        <i x="1" s="1"/>
        <i x="2" s="1"/>
        <i x="6" s="1"/>
        <i x="7" s="1"/>
        <i x="11" s="1"/>
        <i x="0" s="1"/>
        <i x="3"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erformance_Ratings" sourceName="Performance Ratings">
  <pivotTables>
    <pivotTable tabId="2" name="PivotTable3"/>
    <pivotTable tabId="2" name="PivotTable1"/>
    <pivotTable tabId="2" name="PivotTable2"/>
    <pivotTable tabId="2" name="PivotTable4"/>
  </pivotTables>
  <data>
    <tabular pivotCacheId="1">
      <items count="5">
        <i x="0" s="1"/>
        <i x="1" s="1"/>
        <i x="3"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Birth Month" cache="Slicer_Birth_Month" caption="Birth Month" style="SlicerStyleDark1" rowHeight="241300"/>
  <slicer name="Performance Ratings" cache="Slicer_Performance_Ratings" caption="Performance Ratings" columnCount="2" style="SlicerStyleDark1" rowHeight="241300"/>
</slicer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1"/>
  <sheetViews>
    <sheetView tabSelected="1" zoomScaleNormal="100" workbookViewId="0">
      <pane ySplit="1" topLeftCell="A2" activePane="bottomLeft" state="frozen"/>
      <selection pane="bottomLeft"/>
    </sheetView>
  </sheetViews>
  <sheetFormatPr defaultColWidth="8.7109375" defaultRowHeight="15" x14ac:dyDescent="0.25"/>
  <cols>
    <col min="1" max="1" width="12" customWidth="1"/>
    <col min="2" max="2" width="6" customWidth="1"/>
    <col min="3" max="3" width="14" customWidth="1"/>
    <col min="4" max="4" width="15" customWidth="1"/>
    <col min="5" max="5" width="9" customWidth="1"/>
    <col min="6" max="6" width="42" customWidth="1"/>
    <col min="7" max="7" width="12" customWidth="1"/>
    <col min="8" max="8" width="16" customWidth="1"/>
    <col min="9" max="9" width="13" customWidth="1"/>
    <col min="10" max="11" width="12" customWidth="1"/>
  </cols>
  <sheetData>
    <row r="1" spans="1:11" ht="26.25" x14ac:dyDescent="0.25">
      <c r="A1" s="1" t="s">
        <v>0</v>
      </c>
      <c r="B1" s="1" t="s">
        <v>1</v>
      </c>
      <c r="C1" s="1" t="s">
        <v>2</v>
      </c>
      <c r="D1" s="1" t="s">
        <v>3</v>
      </c>
      <c r="E1" s="1" t="s">
        <v>4</v>
      </c>
      <c r="F1" s="1" t="s">
        <v>5</v>
      </c>
      <c r="G1" s="1" t="s">
        <v>6</v>
      </c>
      <c r="H1" s="1" t="s">
        <v>7</v>
      </c>
      <c r="I1" s="1" t="s">
        <v>8</v>
      </c>
      <c r="J1" s="1" t="s">
        <v>9</v>
      </c>
      <c r="K1" s="1" t="s">
        <v>10</v>
      </c>
    </row>
    <row r="2" spans="1:11" x14ac:dyDescent="0.25">
      <c r="A2" s="2" t="s">
        <v>11</v>
      </c>
      <c r="B2" s="2">
        <v>28</v>
      </c>
      <c r="C2" s="3">
        <v>35725</v>
      </c>
      <c r="D2" s="3">
        <v>44507</v>
      </c>
      <c r="E2" s="2" t="s">
        <v>12</v>
      </c>
      <c r="F2" s="2" t="s">
        <v>13</v>
      </c>
      <c r="G2" s="2" t="s">
        <v>14</v>
      </c>
      <c r="H2" s="4">
        <v>605711</v>
      </c>
      <c r="I2" s="2">
        <v>1</v>
      </c>
      <c r="J2" s="5" t="str">
        <f t="shared" ref="J2:J33" si="0">TEXT(C2,"mmm")</f>
        <v>Oct</v>
      </c>
      <c r="K2" s="5">
        <f t="shared" ref="K2:K33" si="1">MONTH(C2)</f>
        <v>10</v>
      </c>
    </row>
    <row r="3" spans="1:11" x14ac:dyDescent="0.25">
      <c r="A3" s="2" t="s">
        <v>15</v>
      </c>
      <c r="B3" s="2">
        <v>37</v>
      </c>
      <c r="C3" s="3">
        <v>32642</v>
      </c>
      <c r="D3" s="3">
        <v>44975</v>
      </c>
      <c r="E3" s="2" t="s">
        <v>12</v>
      </c>
      <c r="F3" s="2" t="s">
        <v>16</v>
      </c>
      <c r="G3" s="2" t="s">
        <v>14</v>
      </c>
      <c r="H3" s="4">
        <v>1784405</v>
      </c>
      <c r="I3" s="2">
        <v>2</v>
      </c>
      <c r="J3" s="5" t="str">
        <f t="shared" si="0"/>
        <v>May</v>
      </c>
      <c r="K3" s="5">
        <f t="shared" si="1"/>
        <v>5</v>
      </c>
    </row>
    <row r="4" spans="1:11" x14ac:dyDescent="0.25">
      <c r="A4" s="2" t="s">
        <v>17</v>
      </c>
      <c r="B4" s="2">
        <v>45</v>
      </c>
      <c r="C4" s="3">
        <v>29525</v>
      </c>
      <c r="D4" s="3">
        <v>43591</v>
      </c>
      <c r="E4" s="2" t="s">
        <v>12</v>
      </c>
      <c r="F4" s="2" t="s">
        <v>18</v>
      </c>
      <c r="G4" s="2" t="s">
        <v>19</v>
      </c>
      <c r="H4" s="4">
        <v>417952</v>
      </c>
      <c r="I4" s="2">
        <v>2</v>
      </c>
      <c r="J4" s="5" t="str">
        <f t="shared" si="0"/>
        <v>Oct</v>
      </c>
      <c r="K4" s="5">
        <f t="shared" si="1"/>
        <v>10</v>
      </c>
    </row>
    <row r="5" spans="1:11" x14ac:dyDescent="0.25">
      <c r="A5" s="2" t="s">
        <v>20</v>
      </c>
      <c r="B5" s="2">
        <v>33</v>
      </c>
      <c r="C5" s="3">
        <v>33894</v>
      </c>
      <c r="D5" s="3">
        <v>43178</v>
      </c>
      <c r="E5" s="2" t="s">
        <v>12</v>
      </c>
      <c r="F5" s="2" t="s">
        <v>21</v>
      </c>
      <c r="G5" s="2" t="s">
        <v>22</v>
      </c>
      <c r="H5" s="4">
        <v>1263395</v>
      </c>
      <c r="I5" s="2">
        <v>4</v>
      </c>
      <c r="J5" s="5" t="str">
        <f t="shared" si="0"/>
        <v>Oct</v>
      </c>
      <c r="K5" s="5">
        <f t="shared" si="1"/>
        <v>10</v>
      </c>
    </row>
    <row r="6" spans="1:11" x14ac:dyDescent="0.25">
      <c r="A6" s="2" t="s">
        <v>23</v>
      </c>
      <c r="B6" s="2">
        <v>55</v>
      </c>
      <c r="C6" s="3">
        <v>26106</v>
      </c>
      <c r="D6" s="3">
        <v>43401</v>
      </c>
      <c r="E6" s="2" t="s">
        <v>12</v>
      </c>
      <c r="F6" s="2" t="s">
        <v>24</v>
      </c>
      <c r="G6" s="2" t="s">
        <v>14</v>
      </c>
      <c r="H6" s="4">
        <v>452315</v>
      </c>
      <c r="I6" s="2">
        <v>1</v>
      </c>
      <c r="J6" s="5" t="str">
        <f t="shared" si="0"/>
        <v>Jun</v>
      </c>
      <c r="K6" s="5">
        <f t="shared" si="1"/>
        <v>6</v>
      </c>
    </row>
    <row r="7" spans="1:11" x14ac:dyDescent="0.25">
      <c r="A7" s="2" t="s">
        <v>25</v>
      </c>
      <c r="B7" s="2">
        <v>60</v>
      </c>
      <c r="C7" s="3">
        <v>24052</v>
      </c>
      <c r="D7" s="3">
        <v>43044</v>
      </c>
      <c r="E7" s="2" t="s">
        <v>12</v>
      </c>
      <c r="F7" s="2" t="s">
        <v>26</v>
      </c>
      <c r="G7" s="2" t="s">
        <v>19</v>
      </c>
      <c r="H7" s="4">
        <v>659783</v>
      </c>
      <c r="I7" s="2">
        <v>1</v>
      </c>
      <c r="J7" s="5" t="str">
        <f t="shared" si="0"/>
        <v>Nov</v>
      </c>
      <c r="K7" s="5">
        <f t="shared" si="1"/>
        <v>11</v>
      </c>
    </row>
    <row r="8" spans="1:11" x14ac:dyDescent="0.25">
      <c r="A8" s="2" t="s">
        <v>27</v>
      </c>
      <c r="B8" s="2">
        <v>58</v>
      </c>
      <c r="C8" s="3">
        <v>24856</v>
      </c>
      <c r="D8" s="3">
        <v>42976</v>
      </c>
      <c r="E8" s="2" t="s">
        <v>12</v>
      </c>
      <c r="F8" s="2" t="s">
        <v>28</v>
      </c>
      <c r="G8" s="2" t="s">
        <v>19</v>
      </c>
      <c r="H8" s="4">
        <v>1652713</v>
      </c>
      <c r="I8" s="2">
        <v>2</v>
      </c>
      <c r="J8" s="5" t="str">
        <f t="shared" si="0"/>
        <v>Jan</v>
      </c>
      <c r="K8" s="5">
        <f t="shared" si="1"/>
        <v>1</v>
      </c>
    </row>
    <row r="9" spans="1:11" x14ac:dyDescent="0.25">
      <c r="A9" s="2" t="s">
        <v>29</v>
      </c>
      <c r="B9" s="2">
        <v>55</v>
      </c>
      <c r="C9" s="3">
        <v>25993</v>
      </c>
      <c r="D9" s="3">
        <v>42533</v>
      </c>
      <c r="E9" s="2" t="s">
        <v>30</v>
      </c>
      <c r="F9" s="2" t="s">
        <v>31</v>
      </c>
      <c r="G9" s="2" t="s">
        <v>19</v>
      </c>
      <c r="H9" s="4">
        <v>422579</v>
      </c>
      <c r="I9" s="2">
        <v>3</v>
      </c>
      <c r="J9" s="5" t="str">
        <f t="shared" si="0"/>
        <v>Mar</v>
      </c>
      <c r="K9" s="5">
        <f t="shared" si="1"/>
        <v>3</v>
      </c>
    </row>
    <row r="10" spans="1:11" x14ac:dyDescent="0.25">
      <c r="A10" s="2" t="s">
        <v>32</v>
      </c>
      <c r="B10" s="2">
        <v>36</v>
      </c>
      <c r="C10" s="3">
        <v>32806</v>
      </c>
      <c r="D10" s="3">
        <v>45387</v>
      </c>
      <c r="E10" s="2" t="s">
        <v>33</v>
      </c>
      <c r="F10" s="2" t="s">
        <v>34</v>
      </c>
      <c r="G10" s="2" t="s">
        <v>35</v>
      </c>
      <c r="H10" s="4">
        <v>1959157</v>
      </c>
      <c r="I10" s="2">
        <v>5</v>
      </c>
      <c r="J10" s="5" t="str">
        <f t="shared" si="0"/>
        <v>Oct</v>
      </c>
      <c r="K10" s="5">
        <f t="shared" si="1"/>
        <v>10</v>
      </c>
    </row>
    <row r="11" spans="1:11" x14ac:dyDescent="0.25">
      <c r="A11" s="2" t="s">
        <v>36</v>
      </c>
      <c r="B11" s="2">
        <v>60</v>
      </c>
      <c r="C11" s="3">
        <v>24298</v>
      </c>
      <c r="D11" s="3">
        <v>44832</v>
      </c>
      <c r="E11" s="2" t="s">
        <v>30</v>
      </c>
      <c r="F11" s="2" t="s">
        <v>37</v>
      </c>
      <c r="G11" s="2" t="s">
        <v>38</v>
      </c>
      <c r="H11" s="4">
        <v>748242</v>
      </c>
      <c r="I11" s="2">
        <v>3</v>
      </c>
      <c r="J11" s="5" t="str">
        <f t="shared" si="0"/>
        <v>Jul</v>
      </c>
      <c r="K11" s="5">
        <f t="shared" si="1"/>
        <v>7</v>
      </c>
    </row>
    <row r="12" spans="1:11" x14ac:dyDescent="0.25">
      <c r="A12" s="2" t="s">
        <v>39</v>
      </c>
      <c r="B12" s="2">
        <v>35</v>
      </c>
      <c r="C12" s="3">
        <v>33458</v>
      </c>
      <c r="D12" s="3">
        <v>44014</v>
      </c>
      <c r="E12" s="2" t="s">
        <v>33</v>
      </c>
      <c r="F12" s="2" t="s">
        <v>40</v>
      </c>
      <c r="G12" s="2" t="s">
        <v>14</v>
      </c>
      <c r="H12" s="4">
        <v>674564</v>
      </c>
      <c r="I12" s="2">
        <v>1</v>
      </c>
      <c r="J12" s="5" t="str">
        <f t="shared" si="0"/>
        <v>Aug</v>
      </c>
      <c r="K12" s="5">
        <f t="shared" si="1"/>
        <v>8</v>
      </c>
    </row>
    <row r="13" spans="1:11" x14ac:dyDescent="0.25">
      <c r="A13" s="2" t="s">
        <v>41</v>
      </c>
      <c r="B13" s="2">
        <v>32</v>
      </c>
      <c r="C13" s="3">
        <v>34299</v>
      </c>
      <c r="D13" s="3">
        <v>45144</v>
      </c>
      <c r="E13" s="2" t="s">
        <v>12</v>
      </c>
      <c r="F13" s="2" t="s">
        <v>42</v>
      </c>
      <c r="G13" s="2" t="s">
        <v>22</v>
      </c>
      <c r="H13" s="4">
        <v>1035831</v>
      </c>
      <c r="I13" s="2">
        <v>4</v>
      </c>
      <c r="J13" s="5" t="str">
        <f t="shared" si="0"/>
        <v>Nov</v>
      </c>
      <c r="K13" s="5">
        <f t="shared" si="1"/>
        <v>11</v>
      </c>
    </row>
    <row r="14" spans="1:11" x14ac:dyDescent="0.25">
      <c r="A14" s="2" t="s">
        <v>43</v>
      </c>
      <c r="B14" s="2">
        <v>61</v>
      </c>
      <c r="C14" s="3">
        <v>23954</v>
      </c>
      <c r="D14" s="3">
        <v>45503</v>
      </c>
      <c r="E14" s="2" t="s">
        <v>30</v>
      </c>
      <c r="F14" s="2" t="s">
        <v>44</v>
      </c>
      <c r="G14" s="2" t="s">
        <v>35</v>
      </c>
      <c r="H14" s="4">
        <v>1036326</v>
      </c>
      <c r="I14" s="2">
        <v>3</v>
      </c>
      <c r="J14" s="5" t="str">
        <f t="shared" si="0"/>
        <v>Jul</v>
      </c>
      <c r="K14" s="5">
        <f t="shared" si="1"/>
        <v>7</v>
      </c>
    </row>
    <row r="15" spans="1:11" x14ac:dyDescent="0.25">
      <c r="A15" s="2" t="s">
        <v>45</v>
      </c>
      <c r="B15" s="2">
        <v>60</v>
      </c>
      <c r="C15" s="3">
        <v>24117</v>
      </c>
      <c r="D15" s="3">
        <v>43699</v>
      </c>
      <c r="E15" s="2" t="s">
        <v>33</v>
      </c>
      <c r="F15" s="2" t="s">
        <v>46</v>
      </c>
      <c r="G15" s="2" t="s">
        <v>19</v>
      </c>
      <c r="H15" s="4">
        <v>610744</v>
      </c>
      <c r="I15" s="2">
        <v>3</v>
      </c>
      <c r="J15" s="5" t="str">
        <f t="shared" si="0"/>
        <v>Jan</v>
      </c>
      <c r="K15" s="5">
        <f t="shared" si="1"/>
        <v>1</v>
      </c>
    </row>
    <row r="16" spans="1:11" x14ac:dyDescent="0.25">
      <c r="A16" s="2" t="s">
        <v>47</v>
      </c>
      <c r="B16" s="2">
        <v>25</v>
      </c>
      <c r="C16" s="3">
        <v>36877</v>
      </c>
      <c r="D16" s="3">
        <v>44728</v>
      </c>
      <c r="E16" s="2" t="s">
        <v>30</v>
      </c>
      <c r="F16" s="2" t="s">
        <v>48</v>
      </c>
      <c r="G16" s="2" t="s">
        <v>19</v>
      </c>
      <c r="H16" s="4">
        <v>1519160</v>
      </c>
      <c r="I16" s="2">
        <v>1</v>
      </c>
      <c r="J16" s="5" t="str">
        <f t="shared" si="0"/>
        <v>Dec</v>
      </c>
      <c r="K16" s="5">
        <f t="shared" si="1"/>
        <v>12</v>
      </c>
    </row>
    <row r="17" spans="1:11" x14ac:dyDescent="0.25">
      <c r="A17" s="2" t="s">
        <v>49</v>
      </c>
      <c r="B17" s="2">
        <v>24</v>
      </c>
      <c r="C17" s="3">
        <v>37488</v>
      </c>
      <c r="D17" s="3">
        <v>43009</v>
      </c>
      <c r="E17" s="2" t="s">
        <v>33</v>
      </c>
      <c r="F17" s="2" t="s">
        <v>18</v>
      </c>
      <c r="G17" s="2" t="s">
        <v>19</v>
      </c>
      <c r="H17" s="4">
        <v>1139052</v>
      </c>
      <c r="I17" s="2">
        <v>2</v>
      </c>
      <c r="J17" s="5" t="str">
        <f t="shared" si="0"/>
        <v>Aug</v>
      </c>
      <c r="K17" s="5">
        <f t="shared" si="1"/>
        <v>8</v>
      </c>
    </row>
    <row r="18" spans="1:11" x14ac:dyDescent="0.25">
      <c r="A18" s="2" t="s">
        <v>50</v>
      </c>
      <c r="B18" s="2">
        <v>33</v>
      </c>
      <c r="C18" s="3">
        <v>34161</v>
      </c>
      <c r="D18" s="3">
        <v>43944</v>
      </c>
      <c r="E18" s="2" t="s">
        <v>33</v>
      </c>
      <c r="F18" s="2" t="s">
        <v>51</v>
      </c>
      <c r="G18" s="2" t="s">
        <v>19</v>
      </c>
      <c r="H18" s="4">
        <v>904474</v>
      </c>
      <c r="I18" s="2">
        <v>1</v>
      </c>
      <c r="J18" s="5" t="str">
        <f t="shared" si="0"/>
        <v>Jul</v>
      </c>
      <c r="K18" s="5">
        <f t="shared" si="1"/>
        <v>7</v>
      </c>
    </row>
    <row r="19" spans="1:11" x14ac:dyDescent="0.25">
      <c r="A19" s="2" t="s">
        <v>52</v>
      </c>
      <c r="B19" s="2">
        <v>48</v>
      </c>
      <c r="C19" s="3">
        <v>28558</v>
      </c>
      <c r="D19" s="3">
        <v>44425</v>
      </c>
      <c r="E19" s="2" t="s">
        <v>12</v>
      </c>
      <c r="F19" s="2" t="s">
        <v>53</v>
      </c>
      <c r="G19" s="2" t="s">
        <v>22</v>
      </c>
      <c r="H19" s="4">
        <v>841377</v>
      </c>
      <c r="I19" s="2">
        <v>3</v>
      </c>
      <c r="J19" s="5" t="str">
        <f t="shared" si="0"/>
        <v>Mar</v>
      </c>
      <c r="K19" s="5">
        <f t="shared" si="1"/>
        <v>3</v>
      </c>
    </row>
    <row r="20" spans="1:11" x14ac:dyDescent="0.25">
      <c r="A20" s="2" t="s">
        <v>54</v>
      </c>
      <c r="B20" s="2">
        <v>30</v>
      </c>
      <c r="C20" s="3">
        <v>35136</v>
      </c>
      <c r="D20" s="3">
        <v>44068</v>
      </c>
      <c r="E20" s="2" t="s">
        <v>12</v>
      </c>
      <c r="F20" s="2" t="s">
        <v>55</v>
      </c>
      <c r="G20" s="2" t="s">
        <v>56</v>
      </c>
      <c r="H20" s="4">
        <v>1249734</v>
      </c>
      <c r="I20" s="2">
        <v>3</v>
      </c>
      <c r="J20" s="5" t="str">
        <f t="shared" si="0"/>
        <v>Mar</v>
      </c>
      <c r="K20" s="5">
        <f t="shared" si="1"/>
        <v>3</v>
      </c>
    </row>
    <row r="21" spans="1:11" x14ac:dyDescent="0.25">
      <c r="A21" s="2" t="s">
        <v>57</v>
      </c>
      <c r="B21" s="2">
        <v>28</v>
      </c>
      <c r="C21" s="3">
        <v>35893</v>
      </c>
      <c r="D21" s="3">
        <v>45153</v>
      </c>
      <c r="E21" s="2" t="s">
        <v>30</v>
      </c>
      <c r="F21" s="2" t="s">
        <v>58</v>
      </c>
      <c r="G21" s="2" t="s">
        <v>35</v>
      </c>
      <c r="H21" s="4">
        <v>974343</v>
      </c>
      <c r="I21" s="2">
        <v>4</v>
      </c>
      <c r="J21" s="5" t="str">
        <f t="shared" si="0"/>
        <v>Apr</v>
      </c>
      <c r="K21" s="5">
        <f t="shared" si="1"/>
        <v>4</v>
      </c>
    </row>
    <row r="22" spans="1:11" x14ac:dyDescent="0.25">
      <c r="A22" s="2" t="s">
        <v>59</v>
      </c>
      <c r="B22" s="2">
        <v>49</v>
      </c>
      <c r="C22" s="3">
        <v>28090</v>
      </c>
      <c r="D22" s="3">
        <v>44951</v>
      </c>
      <c r="E22" s="2" t="s">
        <v>33</v>
      </c>
      <c r="F22" s="2" t="s">
        <v>60</v>
      </c>
      <c r="G22" s="2" t="s">
        <v>38</v>
      </c>
      <c r="H22" s="4">
        <v>670775</v>
      </c>
      <c r="I22" s="2">
        <v>3</v>
      </c>
      <c r="J22" s="5" t="str">
        <f t="shared" si="0"/>
        <v>Nov</v>
      </c>
      <c r="K22" s="5">
        <f t="shared" si="1"/>
        <v>11</v>
      </c>
    </row>
    <row r="23" spans="1:11" x14ac:dyDescent="0.25">
      <c r="A23" s="2" t="s">
        <v>61</v>
      </c>
      <c r="B23" s="2">
        <v>45</v>
      </c>
      <c r="C23" s="3">
        <v>29599</v>
      </c>
      <c r="D23" s="3">
        <v>45475</v>
      </c>
      <c r="E23" s="2" t="s">
        <v>12</v>
      </c>
      <c r="F23" s="2" t="s">
        <v>62</v>
      </c>
      <c r="G23" s="2" t="s">
        <v>14</v>
      </c>
      <c r="H23" s="4">
        <v>1045048</v>
      </c>
      <c r="I23" s="2">
        <v>4</v>
      </c>
      <c r="J23" s="5" t="str">
        <f t="shared" si="0"/>
        <v>Jan</v>
      </c>
      <c r="K23" s="5">
        <f t="shared" si="1"/>
        <v>1</v>
      </c>
    </row>
    <row r="24" spans="1:11" x14ac:dyDescent="0.25">
      <c r="A24" s="2" t="s">
        <v>63</v>
      </c>
      <c r="B24" s="2">
        <v>32</v>
      </c>
      <c r="C24" s="3">
        <v>34380</v>
      </c>
      <c r="D24" s="3">
        <v>43433</v>
      </c>
      <c r="E24" s="2" t="s">
        <v>30</v>
      </c>
      <c r="F24" s="2" t="s">
        <v>64</v>
      </c>
      <c r="G24" s="2" t="s">
        <v>35</v>
      </c>
      <c r="H24" s="4">
        <v>1187633</v>
      </c>
      <c r="I24" s="2">
        <v>3</v>
      </c>
      <c r="J24" s="5" t="str">
        <f t="shared" si="0"/>
        <v>Feb</v>
      </c>
      <c r="K24" s="5">
        <f t="shared" si="1"/>
        <v>2</v>
      </c>
    </row>
    <row r="25" spans="1:11" x14ac:dyDescent="0.25">
      <c r="A25" s="2" t="s">
        <v>65</v>
      </c>
      <c r="B25" s="2">
        <v>46</v>
      </c>
      <c r="C25" s="3">
        <v>29458</v>
      </c>
      <c r="D25" s="3">
        <v>43472</v>
      </c>
      <c r="E25" s="2" t="s">
        <v>33</v>
      </c>
      <c r="F25" s="2" t="s">
        <v>66</v>
      </c>
      <c r="G25" s="2" t="s">
        <v>14</v>
      </c>
      <c r="H25" s="4">
        <v>1604229</v>
      </c>
      <c r="I25" s="2">
        <v>2</v>
      </c>
      <c r="J25" s="5" t="str">
        <f t="shared" si="0"/>
        <v>Aug</v>
      </c>
      <c r="K25" s="5">
        <f t="shared" si="1"/>
        <v>8</v>
      </c>
    </row>
    <row r="26" spans="1:11" x14ac:dyDescent="0.25">
      <c r="A26" s="2" t="s">
        <v>67</v>
      </c>
      <c r="B26" s="2">
        <v>51</v>
      </c>
      <c r="C26" s="3">
        <v>27417</v>
      </c>
      <c r="D26" s="3">
        <v>44690</v>
      </c>
      <c r="E26" s="2" t="s">
        <v>33</v>
      </c>
      <c r="F26" s="2" t="s">
        <v>68</v>
      </c>
      <c r="G26" s="2" t="s">
        <v>35</v>
      </c>
      <c r="H26" s="4">
        <v>906745</v>
      </c>
      <c r="I26" s="2">
        <v>3</v>
      </c>
      <c r="J26" s="5" t="str">
        <f t="shared" si="0"/>
        <v>Jan</v>
      </c>
      <c r="K26" s="5">
        <f t="shared" si="1"/>
        <v>1</v>
      </c>
    </row>
    <row r="27" spans="1:11" x14ac:dyDescent="0.25">
      <c r="A27" s="2" t="s">
        <v>69</v>
      </c>
      <c r="B27" s="2">
        <v>59</v>
      </c>
      <c r="C27" s="3">
        <v>24489</v>
      </c>
      <c r="D27" s="3">
        <v>43831</v>
      </c>
      <c r="E27" s="2" t="s">
        <v>30</v>
      </c>
      <c r="F27" s="2" t="s">
        <v>70</v>
      </c>
      <c r="G27" s="2" t="s">
        <v>14</v>
      </c>
      <c r="H27" s="4">
        <v>1310509</v>
      </c>
      <c r="I27" s="2">
        <v>4</v>
      </c>
      <c r="J27" s="5" t="str">
        <f t="shared" si="0"/>
        <v>Jan</v>
      </c>
      <c r="K27" s="5">
        <f t="shared" si="1"/>
        <v>1</v>
      </c>
    </row>
    <row r="28" spans="1:11" x14ac:dyDescent="0.25">
      <c r="A28" s="2" t="s">
        <v>71</v>
      </c>
      <c r="B28" s="2">
        <v>43</v>
      </c>
      <c r="C28" s="3">
        <v>30359</v>
      </c>
      <c r="D28" s="3">
        <v>42978</v>
      </c>
      <c r="E28" s="2" t="s">
        <v>12</v>
      </c>
      <c r="F28" s="2" t="s">
        <v>72</v>
      </c>
      <c r="G28" s="2" t="s">
        <v>22</v>
      </c>
      <c r="H28" s="4">
        <v>1224425</v>
      </c>
      <c r="I28" s="2">
        <v>4</v>
      </c>
      <c r="J28" s="5" t="str">
        <f t="shared" si="0"/>
        <v>Feb</v>
      </c>
      <c r="K28" s="5">
        <f t="shared" si="1"/>
        <v>2</v>
      </c>
    </row>
    <row r="29" spans="1:11" x14ac:dyDescent="0.25">
      <c r="A29" s="2" t="s">
        <v>73</v>
      </c>
      <c r="B29" s="2">
        <v>54</v>
      </c>
      <c r="C29" s="3">
        <v>26436</v>
      </c>
      <c r="D29" s="3">
        <v>43807</v>
      </c>
      <c r="E29" s="2" t="s">
        <v>33</v>
      </c>
      <c r="F29" s="2" t="s">
        <v>74</v>
      </c>
      <c r="G29" s="2" t="s">
        <v>56</v>
      </c>
      <c r="H29" s="4">
        <v>1256308</v>
      </c>
      <c r="I29" s="2">
        <v>4</v>
      </c>
      <c r="J29" s="5" t="str">
        <f t="shared" si="0"/>
        <v>May</v>
      </c>
      <c r="K29" s="5">
        <f t="shared" si="1"/>
        <v>5</v>
      </c>
    </row>
    <row r="30" spans="1:11" x14ac:dyDescent="0.25">
      <c r="A30" s="2" t="s">
        <v>75</v>
      </c>
      <c r="B30" s="2">
        <v>59</v>
      </c>
      <c r="C30" s="3">
        <v>24596</v>
      </c>
      <c r="D30" s="3">
        <v>45002</v>
      </c>
      <c r="E30" s="2" t="s">
        <v>30</v>
      </c>
      <c r="F30" s="2" t="s">
        <v>76</v>
      </c>
      <c r="G30" s="2" t="s">
        <v>56</v>
      </c>
      <c r="H30" s="4">
        <v>1154131</v>
      </c>
      <c r="I30" s="2">
        <v>3</v>
      </c>
      <c r="J30" s="5" t="str">
        <f t="shared" si="0"/>
        <v>May</v>
      </c>
      <c r="K30" s="5">
        <f t="shared" si="1"/>
        <v>5</v>
      </c>
    </row>
    <row r="31" spans="1:11" x14ac:dyDescent="0.25">
      <c r="A31" s="2" t="s">
        <v>77</v>
      </c>
      <c r="B31" s="2">
        <v>42</v>
      </c>
      <c r="C31" s="3">
        <v>30693</v>
      </c>
      <c r="D31" s="3">
        <v>44051</v>
      </c>
      <c r="E31" s="2" t="s">
        <v>12</v>
      </c>
      <c r="F31" s="2" t="s">
        <v>78</v>
      </c>
      <c r="G31" s="2" t="s">
        <v>19</v>
      </c>
      <c r="H31" s="4">
        <v>632752</v>
      </c>
      <c r="I31" s="2">
        <v>4</v>
      </c>
      <c r="J31" s="5" t="str">
        <f t="shared" si="0"/>
        <v>Jan</v>
      </c>
      <c r="K31" s="5">
        <f t="shared" si="1"/>
        <v>1</v>
      </c>
    </row>
    <row r="32" spans="1:11" x14ac:dyDescent="0.25">
      <c r="A32" s="2" t="s">
        <v>79</v>
      </c>
      <c r="B32" s="2">
        <v>44</v>
      </c>
      <c r="C32" s="3">
        <v>29964</v>
      </c>
      <c r="D32" s="3">
        <v>45042</v>
      </c>
      <c r="E32" s="2" t="s">
        <v>33</v>
      </c>
      <c r="F32" s="2" t="s">
        <v>80</v>
      </c>
      <c r="G32" s="2" t="s">
        <v>22</v>
      </c>
      <c r="H32" s="4">
        <v>730835</v>
      </c>
      <c r="I32" s="2">
        <v>5</v>
      </c>
      <c r="J32" s="5" t="str">
        <f t="shared" si="0"/>
        <v>Jan</v>
      </c>
      <c r="K32" s="5">
        <f t="shared" si="1"/>
        <v>1</v>
      </c>
    </row>
    <row r="33" spans="1:11" x14ac:dyDescent="0.25">
      <c r="A33" s="2" t="s">
        <v>81</v>
      </c>
      <c r="B33" s="2">
        <v>33</v>
      </c>
      <c r="C33" s="3">
        <v>34085</v>
      </c>
      <c r="D33" s="3">
        <v>43412</v>
      </c>
      <c r="E33" s="2" t="s">
        <v>30</v>
      </c>
      <c r="F33" s="2" t="s">
        <v>82</v>
      </c>
      <c r="G33" s="2" t="s">
        <v>38</v>
      </c>
      <c r="H33" s="4">
        <v>832165</v>
      </c>
      <c r="I33" s="2">
        <v>2</v>
      </c>
      <c r="J33" s="5" t="str">
        <f t="shared" si="0"/>
        <v>Apr</v>
      </c>
      <c r="K33" s="5">
        <f t="shared" si="1"/>
        <v>4</v>
      </c>
    </row>
    <row r="34" spans="1:11" x14ac:dyDescent="0.25">
      <c r="A34" s="2" t="s">
        <v>83</v>
      </c>
      <c r="B34" s="2">
        <v>41</v>
      </c>
      <c r="C34" s="3">
        <v>31116</v>
      </c>
      <c r="D34" s="3">
        <v>43993</v>
      </c>
      <c r="E34" s="2" t="s">
        <v>30</v>
      </c>
      <c r="F34" s="2" t="s">
        <v>84</v>
      </c>
      <c r="G34" s="2" t="s">
        <v>14</v>
      </c>
      <c r="H34" s="4">
        <v>1694686</v>
      </c>
      <c r="I34" s="2">
        <v>3</v>
      </c>
      <c r="J34" s="5" t="str">
        <f t="shared" ref="J34:J65" si="2">TEXT(C34,"mmm")</f>
        <v>Mar</v>
      </c>
      <c r="K34" s="5">
        <f t="shared" ref="K34:K65" si="3">MONTH(C34)</f>
        <v>3</v>
      </c>
    </row>
    <row r="35" spans="1:11" x14ac:dyDescent="0.25">
      <c r="A35" s="2" t="s">
        <v>85</v>
      </c>
      <c r="B35" s="2">
        <v>48</v>
      </c>
      <c r="C35" s="3">
        <v>28478</v>
      </c>
      <c r="D35" s="3">
        <v>45234</v>
      </c>
      <c r="E35" s="2" t="s">
        <v>30</v>
      </c>
      <c r="F35" s="2" t="s">
        <v>51</v>
      </c>
      <c r="G35" s="2" t="s">
        <v>38</v>
      </c>
      <c r="H35" s="4">
        <v>1219375</v>
      </c>
      <c r="I35" s="2">
        <v>4</v>
      </c>
      <c r="J35" s="5" t="str">
        <f t="shared" si="2"/>
        <v>Dec</v>
      </c>
      <c r="K35" s="5">
        <f t="shared" si="3"/>
        <v>12</v>
      </c>
    </row>
    <row r="36" spans="1:11" x14ac:dyDescent="0.25">
      <c r="A36" s="2" t="s">
        <v>86</v>
      </c>
      <c r="B36" s="2">
        <v>39</v>
      </c>
      <c r="C36" s="3">
        <v>31955</v>
      </c>
      <c r="D36" s="3">
        <v>43510</v>
      </c>
      <c r="E36" s="2" t="s">
        <v>30</v>
      </c>
      <c r="F36" s="2" t="s">
        <v>87</v>
      </c>
      <c r="G36" s="2" t="s">
        <v>38</v>
      </c>
      <c r="H36" s="4">
        <v>1945999</v>
      </c>
      <c r="I36" s="2">
        <v>2</v>
      </c>
      <c r="J36" s="5" t="str">
        <f t="shared" si="2"/>
        <v>Jun</v>
      </c>
      <c r="K36" s="5">
        <f t="shared" si="3"/>
        <v>6</v>
      </c>
    </row>
    <row r="37" spans="1:11" x14ac:dyDescent="0.25">
      <c r="A37" s="2" t="s">
        <v>88</v>
      </c>
      <c r="B37" s="2">
        <v>38</v>
      </c>
      <c r="C37" s="3">
        <v>32259</v>
      </c>
      <c r="D37" s="3">
        <v>42390</v>
      </c>
      <c r="E37" s="2" t="s">
        <v>12</v>
      </c>
      <c r="F37" s="2" t="s">
        <v>89</v>
      </c>
      <c r="G37" s="2" t="s">
        <v>22</v>
      </c>
      <c r="H37" s="4">
        <v>741170</v>
      </c>
      <c r="I37" s="2">
        <v>3</v>
      </c>
      <c r="J37" s="5" t="str">
        <f t="shared" si="2"/>
        <v>Apr</v>
      </c>
      <c r="K37" s="5">
        <f t="shared" si="3"/>
        <v>4</v>
      </c>
    </row>
    <row r="38" spans="1:11" x14ac:dyDescent="0.25">
      <c r="A38" s="2" t="s">
        <v>90</v>
      </c>
      <c r="B38" s="2">
        <v>30</v>
      </c>
      <c r="C38" s="3">
        <v>35157</v>
      </c>
      <c r="D38" s="3">
        <v>44794</v>
      </c>
      <c r="E38" s="2" t="s">
        <v>33</v>
      </c>
      <c r="F38" s="2" t="s">
        <v>91</v>
      </c>
      <c r="G38" s="2" t="s">
        <v>19</v>
      </c>
      <c r="H38" s="4">
        <v>1719224</v>
      </c>
      <c r="I38" s="2">
        <v>2</v>
      </c>
      <c r="J38" s="5" t="str">
        <f t="shared" si="2"/>
        <v>Apr</v>
      </c>
      <c r="K38" s="5">
        <f t="shared" si="3"/>
        <v>4</v>
      </c>
    </row>
    <row r="39" spans="1:11" x14ac:dyDescent="0.25">
      <c r="A39" s="2" t="s">
        <v>92</v>
      </c>
      <c r="B39" s="2">
        <v>42</v>
      </c>
      <c r="C39" s="3">
        <v>30812</v>
      </c>
      <c r="D39" s="3">
        <v>44178</v>
      </c>
      <c r="E39" s="2" t="s">
        <v>12</v>
      </c>
      <c r="F39" s="2" t="s">
        <v>93</v>
      </c>
      <c r="G39" s="2" t="s">
        <v>14</v>
      </c>
      <c r="H39" s="4">
        <v>856209</v>
      </c>
      <c r="I39" s="2">
        <v>5</v>
      </c>
      <c r="J39" s="5" t="str">
        <f t="shared" si="2"/>
        <v>May</v>
      </c>
      <c r="K39" s="5">
        <f t="shared" si="3"/>
        <v>5</v>
      </c>
    </row>
    <row r="40" spans="1:11" x14ac:dyDescent="0.25">
      <c r="A40" s="2" t="s">
        <v>94</v>
      </c>
      <c r="B40" s="2">
        <v>36</v>
      </c>
      <c r="C40" s="3">
        <v>32928</v>
      </c>
      <c r="D40" s="3">
        <v>45479</v>
      </c>
      <c r="E40" s="2" t="s">
        <v>30</v>
      </c>
      <c r="F40" s="2" t="s">
        <v>95</v>
      </c>
      <c r="G40" s="2" t="s">
        <v>38</v>
      </c>
      <c r="H40" s="4">
        <v>530131</v>
      </c>
      <c r="I40" s="2">
        <v>3</v>
      </c>
      <c r="J40" s="5" t="str">
        <f t="shared" si="2"/>
        <v>Feb</v>
      </c>
      <c r="K40" s="5">
        <f t="shared" si="3"/>
        <v>2</v>
      </c>
    </row>
    <row r="41" spans="1:11" x14ac:dyDescent="0.25">
      <c r="A41" s="2" t="s">
        <v>96</v>
      </c>
      <c r="B41" s="2">
        <v>58</v>
      </c>
      <c r="C41" s="3">
        <v>24954</v>
      </c>
      <c r="D41" s="3">
        <v>45064</v>
      </c>
      <c r="E41" s="2" t="s">
        <v>33</v>
      </c>
      <c r="F41" s="2" t="s">
        <v>97</v>
      </c>
      <c r="G41" s="2" t="s">
        <v>38</v>
      </c>
      <c r="H41" s="4">
        <v>1398387</v>
      </c>
      <c r="I41" s="2">
        <v>4</v>
      </c>
      <c r="J41" s="5" t="str">
        <f t="shared" si="2"/>
        <v>Apr</v>
      </c>
      <c r="K41" s="5">
        <f t="shared" si="3"/>
        <v>4</v>
      </c>
    </row>
    <row r="42" spans="1:11" x14ac:dyDescent="0.25">
      <c r="A42" s="2" t="s">
        <v>98</v>
      </c>
      <c r="B42" s="2">
        <v>48</v>
      </c>
      <c r="C42" s="3">
        <v>28727</v>
      </c>
      <c r="D42" s="3">
        <v>42426</v>
      </c>
      <c r="E42" s="2" t="s">
        <v>12</v>
      </c>
      <c r="F42" s="2" t="s">
        <v>99</v>
      </c>
      <c r="G42" s="2" t="s">
        <v>56</v>
      </c>
      <c r="H42" s="4">
        <v>1024115</v>
      </c>
      <c r="I42" s="2">
        <v>1</v>
      </c>
      <c r="J42" s="5" t="str">
        <f t="shared" si="2"/>
        <v>Aug</v>
      </c>
      <c r="K42" s="5">
        <f t="shared" si="3"/>
        <v>8</v>
      </c>
    </row>
    <row r="43" spans="1:11" x14ac:dyDescent="0.25">
      <c r="A43" s="2" t="s">
        <v>100</v>
      </c>
      <c r="B43" s="2">
        <v>32</v>
      </c>
      <c r="C43" s="3">
        <v>34359</v>
      </c>
      <c r="D43" s="3">
        <v>44249</v>
      </c>
      <c r="E43" s="2" t="s">
        <v>33</v>
      </c>
      <c r="F43" s="2" t="s">
        <v>101</v>
      </c>
      <c r="G43" s="2" t="s">
        <v>38</v>
      </c>
      <c r="H43" s="4">
        <v>773998</v>
      </c>
      <c r="I43" s="2">
        <v>4</v>
      </c>
      <c r="J43" s="5" t="str">
        <f t="shared" si="2"/>
        <v>Jan</v>
      </c>
      <c r="K43" s="5">
        <f t="shared" si="3"/>
        <v>1</v>
      </c>
    </row>
    <row r="44" spans="1:11" x14ac:dyDescent="0.25">
      <c r="A44" s="2" t="s">
        <v>102</v>
      </c>
      <c r="B44" s="2">
        <v>26</v>
      </c>
      <c r="C44" s="3">
        <v>36436</v>
      </c>
      <c r="D44" s="3">
        <v>44769</v>
      </c>
      <c r="E44" s="2" t="s">
        <v>30</v>
      </c>
      <c r="F44" s="2" t="s">
        <v>103</v>
      </c>
      <c r="G44" s="2" t="s">
        <v>19</v>
      </c>
      <c r="H44" s="4">
        <v>1470720</v>
      </c>
      <c r="I44" s="2">
        <v>3</v>
      </c>
      <c r="J44" s="5" t="str">
        <f t="shared" si="2"/>
        <v>Oct</v>
      </c>
      <c r="K44" s="5">
        <f t="shared" si="3"/>
        <v>10</v>
      </c>
    </row>
    <row r="45" spans="1:11" x14ac:dyDescent="0.25">
      <c r="A45" s="2" t="s">
        <v>104</v>
      </c>
      <c r="B45" s="2">
        <v>25</v>
      </c>
      <c r="C45" s="3">
        <v>36797</v>
      </c>
      <c r="D45" s="3">
        <v>43405</v>
      </c>
      <c r="E45" s="2" t="s">
        <v>30</v>
      </c>
      <c r="F45" s="2" t="s">
        <v>105</v>
      </c>
      <c r="G45" s="2" t="s">
        <v>19</v>
      </c>
      <c r="H45" s="4">
        <v>1532137</v>
      </c>
      <c r="I45" s="2">
        <v>4</v>
      </c>
      <c r="J45" s="5" t="str">
        <f t="shared" si="2"/>
        <v>Sep</v>
      </c>
      <c r="K45" s="5">
        <f t="shared" si="3"/>
        <v>9</v>
      </c>
    </row>
    <row r="46" spans="1:11" x14ac:dyDescent="0.25">
      <c r="A46" s="2" t="s">
        <v>106</v>
      </c>
      <c r="B46" s="2">
        <v>27</v>
      </c>
      <c r="C46" s="3">
        <v>36236</v>
      </c>
      <c r="D46" s="3">
        <v>43003</v>
      </c>
      <c r="E46" s="2" t="s">
        <v>33</v>
      </c>
      <c r="F46" s="2" t="s">
        <v>107</v>
      </c>
      <c r="G46" s="2" t="s">
        <v>19</v>
      </c>
      <c r="H46" s="4">
        <v>1433241</v>
      </c>
      <c r="I46" s="2">
        <v>1</v>
      </c>
      <c r="J46" s="5" t="str">
        <f t="shared" si="2"/>
        <v>Mar</v>
      </c>
      <c r="K46" s="5">
        <f t="shared" si="3"/>
        <v>3</v>
      </c>
    </row>
    <row r="47" spans="1:11" x14ac:dyDescent="0.25">
      <c r="A47" s="2" t="s">
        <v>108</v>
      </c>
      <c r="B47" s="2">
        <v>26</v>
      </c>
      <c r="C47" s="3">
        <v>36719</v>
      </c>
      <c r="D47" s="3">
        <v>41980</v>
      </c>
      <c r="E47" s="2" t="s">
        <v>33</v>
      </c>
      <c r="F47" s="2" t="s">
        <v>109</v>
      </c>
      <c r="G47" s="2" t="s">
        <v>22</v>
      </c>
      <c r="H47" s="4">
        <v>1730143</v>
      </c>
      <c r="I47" s="2">
        <v>1</v>
      </c>
      <c r="J47" s="5" t="str">
        <f t="shared" si="2"/>
        <v>Jul</v>
      </c>
      <c r="K47" s="5">
        <f t="shared" si="3"/>
        <v>7</v>
      </c>
    </row>
    <row r="48" spans="1:11" x14ac:dyDescent="0.25">
      <c r="A48" s="2" t="s">
        <v>110</v>
      </c>
      <c r="B48" s="2">
        <v>52</v>
      </c>
      <c r="C48" s="3">
        <v>27099</v>
      </c>
      <c r="D48" s="3">
        <v>43554</v>
      </c>
      <c r="E48" s="2" t="s">
        <v>30</v>
      </c>
      <c r="F48" s="2" t="s">
        <v>111</v>
      </c>
      <c r="G48" s="2" t="s">
        <v>14</v>
      </c>
      <c r="H48" s="4">
        <v>1652224</v>
      </c>
      <c r="I48" s="2">
        <v>1</v>
      </c>
      <c r="J48" s="5" t="str">
        <f t="shared" si="2"/>
        <v>Mar</v>
      </c>
      <c r="K48" s="5">
        <f t="shared" si="3"/>
        <v>3</v>
      </c>
    </row>
    <row r="49" spans="1:11" x14ac:dyDescent="0.25">
      <c r="A49" s="2" t="s">
        <v>112</v>
      </c>
      <c r="B49" s="2">
        <v>29</v>
      </c>
      <c r="C49" s="3">
        <v>35614</v>
      </c>
      <c r="D49" s="3">
        <v>42287</v>
      </c>
      <c r="E49" s="2" t="s">
        <v>12</v>
      </c>
      <c r="F49" s="2" t="s">
        <v>113</v>
      </c>
      <c r="G49" s="2" t="s">
        <v>14</v>
      </c>
      <c r="H49" s="4">
        <v>1863167</v>
      </c>
      <c r="I49" s="2">
        <v>4</v>
      </c>
      <c r="J49" s="5" t="str">
        <f t="shared" si="2"/>
        <v>Jul</v>
      </c>
      <c r="K49" s="5">
        <f t="shared" si="3"/>
        <v>7</v>
      </c>
    </row>
    <row r="50" spans="1:11" x14ac:dyDescent="0.25">
      <c r="A50" s="2" t="s">
        <v>114</v>
      </c>
      <c r="B50" s="2">
        <v>55</v>
      </c>
      <c r="C50" s="3">
        <v>26045</v>
      </c>
      <c r="D50" s="3">
        <v>45264</v>
      </c>
      <c r="E50" s="2" t="s">
        <v>30</v>
      </c>
      <c r="F50" s="2" t="s">
        <v>115</v>
      </c>
      <c r="G50" s="2" t="s">
        <v>38</v>
      </c>
      <c r="H50" s="4">
        <v>777428</v>
      </c>
      <c r="I50" s="2">
        <v>3</v>
      </c>
      <c r="J50" s="5" t="str">
        <f t="shared" si="2"/>
        <v>Apr</v>
      </c>
      <c r="K50" s="5">
        <f t="shared" si="3"/>
        <v>4</v>
      </c>
    </row>
    <row r="51" spans="1:11" x14ac:dyDescent="0.25">
      <c r="A51" s="2" t="s">
        <v>116</v>
      </c>
      <c r="B51" s="2">
        <v>50</v>
      </c>
      <c r="C51" s="3">
        <v>28022</v>
      </c>
      <c r="D51" s="3">
        <v>45500</v>
      </c>
      <c r="E51" s="2" t="s">
        <v>30</v>
      </c>
      <c r="F51" s="2" t="s">
        <v>117</v>
      </c>
      <c r="G51" s="2" t="s">
        <v>56</v>
      </c>
      <c r="H51" s="4">
        <v>1998467</v>
      </c>
      <c r="I51" s="2">
        <v>4</v>
      </c>
      <c r="J51" s="5" t="str">
        <f t="shared" si="2"/>
        <v>Sep</v>
      </c>
      <c r="K51" s="5">
        <f t="shared" si="3"/>
        <v>9</v>
      </c>
    </row>
    <row r="52" spans="1:11" x14ac:dyDescent="0.25">
      <c r="A52" s="2" t="s">
        <v>118</v>
      </c>
      <c r="B52" s="2">
        <v>59</v>
      </c>
      <c r="C52" s="3">
        <v>24619</v>
      </c>
      <c r="D52" s="3">
        <v>43547</v>
      </c>
      <c r="E52" s="2" t="s">
        <v>30</v>
      </c>
      <c r="F52" s="2" t="s">
        <v>119</v>
      </c>
      <c r="G52" s="2" t="s">
        <v>35</v>
      </c>
      <c r="H52" s="4">
        <v>1576414</v>
      </c>
      <c r="I52" s="2">
        <v>1</v>
      </c>
      <c r="J52" s="5" t="str">
        <f t="shared" si="2"/>
        <v>May</v>
      </c>
      <c r="K52" s="5">
        <f t="shared" si="3"/>
        <v>5</v>
      </c>
    </row>
    <row r="53" spans="1:11" x14ac:dyDescent="0.25">
      <c r="A53" s="2" t="s">
        <v>120</v>
      </c>
      <c r="B53" s="2">
        <v>54</v>
      </c>
      <c r="C53" s="3">
        <v>26562</v>
      </c>
      <c r="D53" s="3">
        <v>42954</v>
      </c>
      <c r="E53" s="2" t="s">
        <v>33</v>
      </c>
      <c r="F53" s="2" t="s">
        <v>121</v>
      </c>
      <c r="G53" s="2" t="s">
        <v>38</v>
      </c>
      <c r="H53" s="4">
        <v>1622443</v>
      </c>
      <c r="I53" s="2">
        <v>5</v>
      </c>
      <c r="J53" s="5" t="str">
        <f t="shared" si="2"/>
        <v>Sep</v>
      </c>
      <c r="K53" s="5">
        <f t="shared" si="3"/>
        <v>9</v>
      </c>
    </row>
    <row r="54" spans="1:11" x14ac:dyDescent="0.25">
      <c r="A54" s="2" t="s">
        <v>122</v>
      </c>
      <c r="B54" s="2">
        <v>38</v>
      </c>
      <c r="C54" s="3">
        <v>32110</v>
      </c>
      <c r="D54" s="3">
        <v>45285</v>
      </c>
      <c r="E54" s="2" t="s">
        <v>12</v>
      </c>
      <c r="F54" s="2" t="s">
        <v>89</v>
      </c>
      <c r="G54" s="2" t="s">
        <v>38</v>
      </c>
      <c r="H54" s="4">
        <v>737106</v>
      </c>
      <c r="I54" s="2">
        <v>1</v>
      </c>
      <c r="J54" s="5" t="str">
        <f t="shared" si="2"/>
        <v>Nov</v>
      </c>
      <c r="K54" s="5">
        <f t="shared" si="3"/>
        <v>11</v>
      </c>
    </row>
    <row r="55" spans="1:11" x14ac:dyDescent="0.25">
      <c r="A55" s="2" t="s">
        <v>123</v>
      </c>
      <c r="B55" s="2">
        <v>50</v>
      </c>
      <c r="C55" s="3">
        <v>27831</v>
      </c>
      <c r="D55" s="3">
        <v>43845</v>
      </c>
      <c r="E55" s="2" t="s">
        <v>30</v>
      </c>
      <c r="F55" s="2" t="s">
        <v>124</v>
      </c>
      <c r="G55" s="2" t="s">
        <v>22</v>
      </c>
      <c r="H55" s="4">
        <v>710807</v>
      </c>
      <c r="I55" s="2">
        <v>1</v>
      </c>
      <c r="J55" s="5" t="str">
        <f t="shared" si="2"/>
        <v>Mar</v>
      </c>
      <c r="K55" s="5">
        <f t="shared" si="3"/>
        <v>3</v>
      </c>
    </row>
    <row r="56" spans="1:11" x14ac:dyDescent="0.25">
      <c r="A56" s="2" t="s">
        <v>125</v>
      </c>
      <c r="B56" s="2">
        <v>43</v>
      </c>
      <c r="C56" s="3">
        <v>30240</v>
      </c>
      <c r="D56" s="3">
        <v>44456</v>
      </c>
      <c r="E56" s="2" t="s">
        <v>33</v>
      </c>
      <c r="F56" s="2" t="s">
        <v>126</v>
      </c>
      <c r="G56" s="2" t="s">
        <v>38</v>
      </c>
      <c r="H56" s="4">
        <v>1338364</v>
      </c>
      <c r="I56" s="2">
        <v>3</v>
      </c>
      <c r="J56" s="5" t="str">
        <f t="shared" si="2"/>
        <v>Oct</v>
      </c>
      <c r="K56" s="5">
        <f t="shared" si="3"/>
        <v>10</v>
      </c>
    </row>
    <row r="57" spans="1:11" x14ac:dyDescent="0.25">
      <c r="A57" s="2" t="s">
        <v>127</v>
      </c>
      <c r="B57" s="2">
        <v>25</v>
      </c>
      <c r="C57" s="3">
        <v>37145</v>
      </c>
      <c r="D57" s="3">
        <v>43058</v>
      </c>
      <c r="E57" s="2" t="s">
        <v>33</v>
      </c>
      <c r="F57" s="2" t="s">
        <v>128</v>
      </c>
      <c r="G57" s="2" t="s">
        <v>19</v>
      </c>
      <c r="H57" s="4">
        <v>620290</v>
      </c>
      <c r="I57" s="2">
        <v>4</v>
      </c>
      <c r="J57" s="5" t="str">
        <f t="shared" si="2"/>
        <v>Sep</v>
      </c>
      <c r="K57" s="5">
        <f t="shared" si="3"/>
        <v>9</v>
      </c>
    </row>
    <row r="58" spans="1:11" x14ac:dyDescent="0.25">
      <c r="A58" s="2" t="s">
        <v>129</v>
      </c>
      <c r="B58" s="2">
        <v>53</v>
      </c>
      <c r="C58" s="3">
        <v>26800</v>
      </c>
      <c r="D58" s="3">
        <v>43001</v>
      </c>
      <c r="E58" s="2" t="s">
        <v>12</v>
      </c>
      <c r="F58" s="2" t="s">
        <v>130</v>
      </c>
      <c r="G58" s="2" t="s">
        <v>19</v>
      </c>
      <c r="H58" s="4">
        <v>1309792</v>
      </c>
      <c r="I58" s="2">
        <v>3</v>
      </c>
      <c r="J58" s="5" t="str">
        <f t="shared" si="2"/>
        <v>May</v>
      </c>
      <c r="K58" s="5">
        <f t="shared" si="3"/>
        <v>5</v>
      </c>
    </row>
    <row r="59" spans="1:11" x14ac:dyDescent="0.25">
      <c r="A59" s="2" t="s">
        <v>131</v>
      </c>
      <c r="B59" s="2">
        <v>45</v>
      </c>
      <c r="C59" s="3">
        <v>29509</v>
      </c>
      <c r="D59" s="3">
        <v>43622</v>
      </c>
      <c r="E59" s="2" t="s">
        <v>12</v>
      </c>
      <c r="F59" s="2" t="s">
        <v>132</v>
      </c>
      <c r="G59" s="2" t="s">
        <v>19</v>
      </c>
      <c r="H59" s="4">
        <v>1420133</v>
      </c>
      <c r="I59" s="2">
        <v>4</v>
      </c>
      <c r="J59" s="5" t="str">
        <f t="shared" si="2"/>
        <v>Oct</v>
      </c>
      <c r="K59" s="5">
        <f t="shared" si="3"/>
        <v>10</v>
      </c>
    </row>
    <row r="60" spans="1:11" x14ac:dyDescent="0.25">
      <c r="A60" s="2" t="s">
        <v>133</v>
      </c>
      <c r="B60" s="2">
        <v>51</v>
      </c>
      <c r="C60" s="3">
        <v>27412</v>
      </c>
      <c r="D60" s="3">
        <v>43295</v>
      </c>
      <c r="E60" s="2" t="s">
        <v>12</v>
      </c>
      <c r="F60" s="2" t="s">
        <v>134</v>
      </c>
      <c r="G60" s="2" t="s">
        <v>56</v>
      </c>
      <c r="H60" s="4">
        <v>1499654</v>
      </c>
      <c r="I60" s="2">
        <v>1</v>
      </c>
      <c r="J60" s="5" t="str">
        <f t="shared" si="2"/>
        <v>Jan</v>
      </c>
      <c r="K60" s="5">
        <f t="shared" si="3"/>
        <v>1</v>
      </c>
    </row>
    <row r="61" spans="1:11" x14ac:dyDescent="0.25">
      <c r="A61" s="2" t="s">
        <v>135</v>
      </c>
      <c r="B61" s="2">
        <v>43</v>
      </c>
      <c r="C61" s="3">
        <v>30337</v>
      </c>
      <c r="D61" s="3">
        <v>44903</v>
      </c>
      <c r="E61" s="2" t="s">
        <v>30</v>
      </c>
      <c r="F61" s="2" t="s">
        <v>136</v>
      </c>
      <c r="G61" s="2" t="s">
        <v>19</v>
      </c>
      <c r="H61" s="4">
        <v>958920</v>
      </c>
      <c r="I61" s="2">
        <v>1</v>
      </c>
      <c r="J61" s="5" t="str">
        <f t="shared" si="2"/>
        <v>Jan</v>
      </c>
      <c r="K61" s="5">
        <f t="shared" si="3"/>
        <v>1</v>
      </c>
    </row>
    <row r="62" spans="1:11" x14ac:dyDescent="0.25">
      <c r="A62" s="2" t="s">
        <v>137</v>
      </c>
      <c r="B62" s="2">
        <v>54</v>
      </c>
      <c r="C62" s="3">
        <v>26428</v>
      </c>
      <c r="D62" s="3">
        <v>42134</v>
      </c>
      <c r="E62" s="2" t="s">
        <v>30</v>
      </c>
      <c r="F62" s="2" t="s">
        <v>138</v>
      </c>
      <c r="G62" s="2" t="s">
        <v>14</v>
      </c>
      <c r="H62" s="4">
        <v>1308372</v>
      </c>
      <c r="I62" s="2">
        <v>1</v>
      </c>
      <c r="J62" s="5" t="str">
        <f t="shared" si="2"/>
        <v>May</v>
      </c>
      <c r="K62" s="5">
        <f t="shared" si="3"/>
        <v>5</v>
      </c>
    </row>
    <row r="63" spans="1:11" x14ac:dyDescent="0.25">
      <c r="A63" s="2" t="s">
        <v>139</v>
      </c>
      <c r="B63" s="2">
        <v>57</v>
      </c>
      <c r="C63" s="3">
        <v>25184</v>
      </c>
      <c r="D63" s="3">
        <v>43434</v>
      </c>
      <c r="E63" s="2" t="s">
        <v>33</v>
      </c>
      <c r="F63" s="2" t="s">
        <v>140</v>
      </c>
      <c r="G63" s="2" t="s">
        <v>38</v>
      </c>
      <c r="H63" s="4">
        <v>1410289</v>
      </c>
      <c r="I63" s="2">
        <v>4</v>
      </c>
      <c r="J63" s="5" t="str">
        <f t="shared" si="2"/>
        <v>Dec</v>
      </c>
      <c r="K63" s="5">
        <f t="shared" si="3"/>
        <v>12</v>
      </c>
    </row>
    <row r="64" spans="1:11" x14ac:dyDescent="0.25">
      <c r="A64" s="2" t="s">
        <v>141</v>
      </c>
      <c r="B64" s="2">
        <v>37</v>
      </c>
      <c r="C64" s="3">
        <v>32584</v>
      </c>
      <c r="D64" s="3">
        <v>41942</v>
      </c>
      <c r="E64" s="2" t="s">
        <v>33</v>
      </c>
      <c r="F64" s="2" t="s">
        <v>142</v>
      </c>
      <c r="G64" s="2" t="s">
        <v>14</v>
      </c>
      <c r="H64" s="4">
        <v>1969455</v>
      </c>
      <c r="I64" s="2">
        <v>1</v>
      </c>
      <c r="J64" s="5" t="str">
        <f t="shared" si="2"/>
        <v>Mar</v>
      </c>
      <c r="K64" s="5">
        <f t="shared" si="3"/>
        <v>3</v>
      </c>
    </row>
    <row r="65" spans="1:11" x14ac:dyDescent="0.25">
      <c r="A65" s="2" t="s">
        <v>143</v>
      </c>
      <c r="B65" s="2">
        <v>46</v>
      </c>
      <c r="C65" s="3">
        <v>29180</v>
      </c>
      <c r="D65" s="3">
        <v>44557</v>
      </c>
      <c r="E65" s="2" t="s">
        <v>30</v>
      </c>
      <c r="F65" s="2" t="s">
        <v>144</v>
      </c>
      <c r="G65" s="2" t="s">
        <v>35</v>
      </c>
      <c r="H65" s="4">
        <v>1394020</v>
      </c>
      <c r="I65" s="2">
        <v>3</v>
      </c>
      <c r="J65" s="5" t="str">
        <f t="shared" si="2"/>
        <v>Nov</v>
      </c>
      <c r="K65" s="5">
        <f t="shared" si="3"/>
        <v>11</v>
      </c>
    </row>
    <row r="66" spans="1:11" x14ac:dyDescent="0.25">
      <c r="A66" s="2" t="s">
        <v>145</v>
      </c>
      <c r="B66" s="2">
        <v>31</v>
      </c>
      <c r="C66" s="3">
        <v>34899</v>
      </c>
      <c r="D66" s="3">
        <v>42053</v>
      </c>
      <c r="E66" s="2" t="s">
        <v>33</v>
      </c>
      <c r="F66" s="2" t="s">
        <v>146</v>
      </c>
      <c r="G66" s="2" t="s">
        <v>22</v>
      </c>
      <c r="H66" s="4">
        <v>1071689</v>
      </c>
      <c r="I66" s="2">
        <v>3</v>
      </c>
      <c r="J66" s="5" t="str">
        <f t="shared" ref="J66:J101" si="4">TEXT(C66,"mmm")</f>
        <v>Jul</v>
      </c>
      <c r="K66" s="5">
        <f t="shared" ref="K66:K101" si="5">MONTH(C66)</f>
        <v>7</v>
      </c>
    </row>
    <row r="67" spans="1:11" x14ac:dyDescent="0.25">
      <c r="A67" s="2" t="s">
        <v>147</v>
      </c>
      <c r="B67" s="2">
        <v>47</v>
      </c>
      <c r="C67" s="3">
        <v>28794</v>
      </c>
      <c r="D67" s="3">
        <v>43125</v>
      </c>
      <c r="E67" s="2" t="s">
        <v>12</v>
      </c>
      <c r="F67" s="2" t="s">
        <v>148</v>
      </c>
      <c r="G67" s="2" t="s">
        <v>22</v>
      </c>
      <c r="H67" s="4">
        <v>1343498</v>
      </c>
      <c r="I67" s="2">
        <v>1</v>
      </c>
      <c r="J67" s="5" t="str">
        <f t="shared" si="4"/>
        <v>Oct</v>
      </c>
      <c r="K67" s="5">
        <f t="shared" si="5"/>
        <v>10</v>
      </c>
    </row>
    <row r="68" spans="1:11" x14ac:dyDescent="0.25">
      <c r="A68" s="2" t="s">
        <v>149</v>
      </c>
      <c r="B68" s="2">
        <v>54</v>
      </c>
      <c r="C68" s="3">
        <v>26408</v>
      </c>
      <c r="D68" s="3">
        <v>42938</v>
      </c>
      <c r="E68" s="2" t="s">
        <v>30</v>
      </c>
      <c r="F68" s="2" t="s">
        <v>150</v>
      </c>
      <c r="G68" s="2" t="s">
        <v>14</v>
      </c>
      <c r="H68" s="4">
        <v>870810</v>
      </c>
      <c r="I68" s="2">
        <v>5</v>
      </c>
      <c r="J68" s="5" t="str">
        <f t="shared" si="4"/>
        <v>Apr</v>
      </c>
      <c r="K68" s="5">
        <f t="shared" si="5"/>
        <v>4</v>
      </c>
    </row>
    <row r="69" spans="1:11" x14ac:dyDescent="0.25">
      <c r="A69" s="2" t="s">
        <v>151</v>
      </c>
      <c r="B69" s="2">
        <v>54</v>
      </c>
      <c r="C69" s="3">
        <v>26242</v>
      </c>
      <c r="D69" s="3">
        <v>45005</v>
      </c>
      <c r="E69" s="2" t="s">
        <v>12</v>
      </c>
      <c r="F69" s="2" t="s">
        <v>152</v>
      </c>
      <c r="G69" s="2" t="s">
        <v>14</v>
      </c>
      <c r="H69" s="4">
        <v>1461759</v>
      </c>
      <c r="I69" s="2">
        <v>4</v>
      </c>
      <c r="J69" s="5" t="str">
        <f t="shared" si="4"/>
        <v>Nov</v>
      </c>
      <c r="K69" s="5">
        <f t="shared" si="5"/>
        <v>11</v>
      </c>
    </row>
    <row r="70" spans="1:11" x14ac:dyDescent="0.25">
      <c r="A70" s="2" t="s">
        <v>153</v>
      </c>
      <c r="B70" s="2">
        <v>35</v>
      </c>
      <c r="C70" s="3">
        <v>33234</v>
      </c>
      <c r="D70" s="3">
        <v>42293</v>
      </c>
      <c r="E70" s="2" t="s">
        <v>30</v>
      </c>
      <c r="F70" s="2" t="s">
        <v>154</v>
      </c>
      <c r="G70" s="2" t="s">
        <v>35</v>
      </c>
      <c r="H70" s="4">
        <v>386904</v>
      </c>
      <c r="I70" s="2">
        <v>5</v>
      </c>
      <c r="J70" s="5" t="str">
        <f t="shared" si="4"/>
        <v>Dec</v>
      </c>
      <c r="K70" s="5">
        <f t="shared" si="5"/>
        <v>12</v>
      </c>
    </row>
    <row r="71" spans="1:11" x14ac:dyDescent="0.25">
      <c r="A71" s="2" t="s">
        <v>155</v>
      </c>
      <c r="B71" s="2">
        <v>47</v>
      </c>
      <c r="C71" s="3">
        <v>29050</v>
      </c>
      <c r="D71" s="3">
        <v>44332</v>
      </c>
      <c r="E71" s="2" t="s">
        <v>33</v>
      </c>
      <c r="F71" s="2" t="s">
        <v>156</v>
      </c>
      <c r="G71" s="2" t="s">
        <v>22</v>
      </c>
      <c r="H71" s="4">
        <v>320737</v>
      </c>
      <c r="I71" s="2">
        <v>1</v>
      </c>
      <c r="J71" s="5" t="str">
        <f t="shared" si="4"/>
        <v>Jul</v>
      </c>
      <c r="K71" s="5">
        <f t="shared" si="5"/>
        <v>7</v>
      </c>
    </row>
    <row r="72" spans="1:11" x14ac:dyDescent="0.25">
      <c r="A72" s="2" t="s">
        <v>157</v>
      </c>
      <c r="B72" s="2">
        <v>40</v>
      </c>
      <c r="C72" s="3">
        <v>31433</v>
      </c>
      <c r="D72" s="3">
        <v>43768</v>
      </c>
      <c r="E72" s="2" t="s">
        <v>30</v>
      </c>
      <c r="F72" s="2" t="s">
        <v>158</v>
      </c>
      <c r="G72" s="2" t="s">
        <v>14</v>
      </c>
      <c r="H72" s="4">
        <v>1870113</v>
      </c>
      <c r="I72" s="2">
        <v>5</v>
      </c>
      <c r="J72" s="5" t="str">
        <f t="shared" si="4"/>
        <v>Jan</v>
      </c>
      <c r="K72" s="5">
        <f t="shared" si="5"/>
        <v>1</v>
      </c>
    </row>
    <row r="73" spans="1:11" x14ac:dyDescent="0.25">
      <c r="A73" s="2" t="s">
        <v>159</v>
      </c>
      <c r="B73" s="2">
        <v>49</v>
      </c>
      <c r="C73" s="3">
        <v>28059</v>
      </c>
      <c r="D73" s="3">
        <v>44424</v>
      </c>
      <c r="E73" s="2" t="s">
        <v>12</v>
      </c>
      <c r="F73" s="2" t="s">
        <v>160</v>
      </c>
      <c r="G73" s="2" t="s">
        <v>14</v>
      </c>
      <c r="H73" s="4">
        <v>984007</v>
      </c>
      <c r="I73" s="2">
        <v>4</v>
      </c>
      <c r="J73" s="5" t="str">
        <f t="shared" si="4"/>
        <v>Oct</v>
      </c>
      <c r="K73" s="5">
        <f t="shared" si="5"/>
        <v>10</v>
      </c>
    </row>
    <row r="74" spans="1:11" x14ac:dyDescent="0.25">
      <c r="A74" s="2" t="s">
        <v>161</v>
      </c>
      <c r="B74" s="2">
        <v>60</v>
      </c>
      <c r="C74" s="3">
        <v>24305</v>
      </c>
      <c r="D74" s="3">
        <v>43290</v>
      </c>
      <c r="E74" s="2" t="s">
        <v>30</v>
      </c>
      <c r="F74" s="2" t="s">
        <v>162</v>
      </c>
      <c r="G74" s="2" t="s">
        <v>56</v>
      </c>
      <c r="H74" s="4">
        <v>1016713</v>
      </c>
      <c r="I74" s="2">
        <v>4</v>
      </c>
      <c r="J74" s="5" t="str">
        <f t="shared" si="4"/>
        <v>Jul</v>
      </c>
      <c r="K74" s="5">
        <f t="shared" si="5"/>
        <v>7</v>
      </c>
    </row>
    <row r="75" spans="1:11" x14ac:dyDescent="0.25">
      <c r="A75" s="2" t="s">
        <v>163</v>
      </c>
      <c r="B75" s="2">
        <v>36</v>
      </c>
      <c r="C75" s="3">
        <v>32906</v>
      </c>
      <c r="D75" s="3">
        <v>43728</v>
      </c>
      <c r="E75" s="2" t="s">
        <v>33</v>
      </c>
      <c r="F75" s="2" t="s">
        <v>164</v>
      </c>
      <c r="G75" s="2" t="s">
        <v>38</v>
      </c>
      <c r="H75" s="4">
        <v>654361</v>
      </c>
      <c r="I75" s="2">
        <v>5</v>
      </c>
      <c r="J75" s="5" t="str">
        <f t="shared" si="4"/>
        <v>Feb</v>
      </c>
      <c r="K75" s="5">
        <f t="shared" si="5"/>
        <v>2</v>
      </c>
    </row>
    <row r="76" spans="1:11" x14ac:dyDescent="0.25">
      <c r="A76" s="2" t="s">
        <v>165</v>
      </c>
      <c r="B76" s="2">
        <v>31</v>
      </c>
      <c r="C76" s="3">
        <v>34913</v>
      </c>
      <c r="D76" s="3">
        <v>45438</v>
      </c>
      <c r="E76" s="2" t="s">
        <v>30</v>
      </c>
      <c r="F76" s="2" t="s">
        <v>166</v>
      </c>
      <c r="G76" s="2" t="s">
        <v>19</v>
      </c>
      <c r="H76" s="4">
        <v>1428739</v>
      </c>
      <c r="I76" s="2">
        <v>2</v>
      </c>
      <c r="J76" s="5" t="str">
        <f t="shared" si="4"/>
        <v>Aug</v>
      </c>
      <c r="K76" s="5">
        <f t="shared" si="5"/>
        <v>8</v>
      </c>
    </row>
    <row r="77" spans="1:11" x14ac:dyDescent="0.25">
      <c r="A77" s="2" t="s">
        <v>167</v>
      </c>
      <c r="B77" s="2">
        <v>45</v>
      </c>
      <c r="C77" s="3">
        <v>29666</v>
      </c>
      <c r="D77" s="3">
        <v>42810</v>
      </c>
      <c r="E77" s="2" t="s">
        <v>12</v>
      </c>
      <c r="F77" s="2" t="s">
        <v>168</v>
      </c>
      <c r="G77" s="2" t="s">
        <v>56</v>
      </c>
      <c r="H77" s="4">
        <v>1622854</v>
      </c>
      <c r="I77" s="2">
        <v>4</v>
      </c>
      <c r="J77" s="5" t="str">
        <f t="shared" si="4"/>
        <v>Mar</v>
      </c>
      <c r="K77" s="5">
        <f t="shared" si="5"/>
        <v>3</v>
      </c>
    </row>
    <row r="78" spans="1:11" x14ac:dyDescent="0.25">
      <c r="A78" s="2" t="s">
        <v>169</v>
      </c>
      <c r="B78" s="2">
        <v>53</v>
      </c>
      <c r="C78" s="3">
        <v>26757</v>
      </c>
      <c r="D78" s="3">
        <v>42254</v>
      </c>
      <c r="E78" s="2" t="s">
        <v>33</v>
      </c>
      <c r="F78" s="2" t="s">
        <v>170</v>
      </c>
      <c r="G78" s="2" t="s">
        <v>19</v>
      </c>
      <c r="H78" s="4">
        <v>1278039</v>
      </c>
      <c r="I78" s="2">
        <v>1</v>
      </c>
      <c r="J78" s="5" t="str">
        <f t="shared" si="4"/>
        <v>Apr</v>
      </c>
      <c r="K78" s="5">
        <f t="shared" si="5"/>
        <v>4</v>
      </c>
    </row>
    <row r="79" spans="1:11" x14ac:dyDescent="0.25">
      <c r="A79" s="2" t="s">
        <v>171</v>
      </c>
      <c r="B79" s="2">
        <v>33</v>
      </c>
      <c r="C79" s="3">
        <v>34132</v>
      </c>
      <c r="D79" s="3">
        <v>45219</v>
      </c>
      <c r="E79" s="2" t="s">
        <v>30</v>
      </c>
      <c r="F79" s="2" t="s">
        <v>172</v>
      </c>
      <c r="G79" s="2" t="s">
        <v>22</v>
      </c>
      <c r="H79" s="4">
        <v>347883</v>
      </c>
      <c r="I79" s="2">
        <v>1</v>
      </c>
      <c r="J79" s="5" t="str">
        <f t="shared" si="4"/>
        <v>Jun</v>
      </c>
      <c r="K79" s="5">
        <f t="shared" si="5"/>
        <v>6</v>
      </c>
    </row>
    <row r="80" spans="1:11" x14ac:dyDescent="0.25">
      <c r="A80" s="2" t="s">
        <v>173</v>
      </c>
      <c r="B80" s="2">
        <v>43</v>
      </c>
      <c r="C80" s="3">
        <v>30484</v>
      </c>
      <c r="D80" s="3">
        <v>42758</v>
      </c>
      <c r="E80" s="2" t="s">
        <v>33</v>
      </c>
      <c r="F80" s="2" t="s">
        <v>174</v>
      </c>
      <c r="G80" s="2" t="s">
        <v>19</v>
      </c>
      <c r="H80" s="4">
        <v>1339442</v>
      </c>
      <c r="I80" s="2">
        <v>1</v>
      </c>
      <c r="J80" s="5" t="str">
        <f t="shared" si="4"/>
        <v>Jun</v>
      </c>
      <c r="K80" s="5">
        <f t="shared" si="5"/>
        <v>6</v>
      </c>
    </row>
    <row r="81" spans="1:11" x14ac:dyDescent="0.25">
      <c r="A81" s="2" t="s">
        <v>175</v>
      </c>
      <c r="B81" s="2">
        <v>45</v>
      </c>
      <c r="C81" s="3">
        <v>29767</v>
      </c>
      <c r="D81" s="3">
        <v>44990</v>
      </c>
      <c r="E81" s="2" t="s">
        <v>12</v>
      </c>
      <c r="F81" s="2" t="s">
        <v>176</v>
      </c>
      <c r="G81" s="2" t="s">
        <v>38</v>
      </c>
      <c r="H81" s="4">
        <v>386107</v>
      </c>
      <c r="I81" s="2">
        <v>2</v>
      </c>
      <c r="J81" s="5" t="str">
        <f t="shared" si="4"/>
        <v>Jun</v>
      </c>
      <c r="K81" s="5">
        <f t="shared" si="5"/>
        <v>6</v>
      </c>
    </row>
    <row r="82" spans="1:11" x14ac:dyDescent="0.25">
      <c r="A82" s="2" t="s">
        <v>177</v>
      </c>
      <c r="B82" s="2">
        <v>28</v>
      </c>
      <c r="C82" s="3">
        <v>36017</v>
      </c>
      <c r="D82" s="3">
        <v>43522</v>
      </c>
      <c r="E82" s="2" t="s">
        <v>30</v>
      </c>
      <c r="F82" s="2" t="s">
        <v>178</v>
      </c>
      <c r="G82" s="2" t="s">
        <v>56</v>
      </c>
      <c r="H82" s="4">
        <v>1149792</v>
      </c>
      <c r="I82" s="2">
        <v>1</v>
      </c>
      <c r="J82" s="5" t="str">
        <f t="shared" si="4"/>
        <v>Aug</v>
      </c>
      <c r="K82" s="5">
        <f t="shared" si="5"/>
        <v>8</v>
      </c>
    </row>
    <row r="83" spans="1:11" x14ac:dyDescent="0.25">
      <c r="A83" s="2" t="s">
        <v>179</v>
      </c>
      <c r="B83" s="2">
        <v>43</v>
      </c>
      <c r="C83" s="3">
        <v>30426</v>
      </c>
      <c r="D83" s="3">
        <v>44995</v>
      </c>
      <c r="E83" s="2" t="s">
        <v>33</v>
      </c>
      <c r="F83" s="2" t="s">
        <v>180</v>
      </c>
      <c r="G83" s="2" t="s">
        <v>35</v>
      </c>
      <c r="H83" s="4">
        <v>1761132</v>
      </c>
      <c r="I83" s="2">
        <v>5</v>
      </c>
      <c r="J83" s="5" t="str">
        <f t="shared" si="4"/>
        <v>Apr</v>
      </c>
      <c r="K83" s="5">
        <f t="shared" si="5"/>
        <v>4</v>
      </c>
    </row>
    <row r="84" spans="1:11" x14ac:dyDescent="0.25">
      <c r="A84" s="2" t="s">
        <v>181</v>
      </c>
      <c r="B84" s="2">
        <v>34</v>
      </c>
      <c r="C84" s="3">
        <v>33841</v>
      </c>
      <c r="D84" s="3">
        <v>44139</v>
      </c>
      <c r="E84" s="2" t="s">
        <v>33</v>
      </c>
      <c r="F84" s="2" t="s">
        <v>182</v>
      </c>
      <c r="G84" s="2" t="s">
        <v>38</v>
      </c>
      <c r="H84" s="4">
        <v>1900121</v>
      </c>
      <c r="I84" s="2">
        <v>2</v>
      </c>
      <c r="J84" s="5" t="str">
        <f t="shared" si="4"/>
        <v>Aug</v>
      </c>
      <c r="K84" s="5">
        <f t="shared" si="5"/>
        <v>8</v>
      </c>
    </row>
    <row r="85" spans="1:11" x14ac:dyDescent="0.25">
      <c r="A85" s="2" t="s">
        <v>183</v>
      </c>
      <c r="B85" s="2">
        <v>51</v>
      </c>
      <c r="C85" s="3">
        <v>27511</v>
      </c>
      <c r="D85" s="3">
        <v>45048</v>
      </c>
      <c r="E85" s="2" t="s">
        <v>30</v>
      </c>
      <c r="F85" s="2" t="s">
        <v>184</v>
      </c>
      <c r="G85" s="2" t="s">
        <v>35</v>
      </c>
      <c r="H85" s="4">
        <v>1758090</v>
      </c>
      <c r="I85" s="2">
        <v>4</v>
      </c>
      <c r="J85" s="5" t="str">
        <f t="shared" si="4"/>
        <v>Apr</v>
      </c>
      <c r="K85" s="5">
        <f t="shared" si="5"/>
        <v>4</v>
      </c>
    </row>
    <row r="86" spans="1:11" x14ac:dyDescent="0.25">
      <c r="A86" s="2" t="s">
        <v>185</v>
      </c>
      <c r="B86" s="2">
        <v>62</v>
      </c>
      <c r="C86" s="3">
        <v>23375</v>
      </c>
      <c r="D86" s="3">
        <v>43477</v>
      </c>
      <c r="E86" s="2" t="s">
        <v>33</v>
      </c>
      <c r="F86" s="2" t="s">
        <v>186</v>
      </c>
      <c r="G86" s="2" t="s">
        <v>35</v>
      </c>
      <c r="H86" s="4">
        <v>836660</v>
      </c>
      <c r="I86" s="2">
        <v>2</v>
      </c>
      <c r="J86" s="5" t="str">
        <f t="shared" si="4"/>
        <v>Dec</v>
      </c>
      <c r="K86" s="5">
        <f t="shared" si="5"/>
        <v>12</v>
      </c>
    </row>
    <row r="87" spans="1:11" x14ac:dyDescent="0.25">
      <c r="A87" s="2" t="s">
        <v>187</v>
      </c>
      <c r="B87" s="2">
        <v>55</v>
      </c>
      <c r="C87" s="3">
        <v>26185</v>
      </c>
      <c r="D87" s="3">
        <v>43353</v>
      </c>
      <c r="E87" s="2" t="s">
        <v>30</v>
      </c>
      <c r="F87" s="2" t="s">
        <v>166</v>
      </c>
      <c r="G87" s="2" t="s">
        <v>14</v>
      </c>
      <c r="H87" s="4">
        <v>697636</v>
      </c>
      <c r="I87" s="2">
        <v>1</v>
      </c>
      <c r="J87" s="5" t="str">
        <f t="shared" si="4"/>
        <v>Sep</v>
      </c>
      <c r="K87" s="5">
        <f t="shared" si="5"/>
        <v>9</v>
      </c>
    </row>
    <row r="88" spans="1:11" x14ac:dyDescent="0.25">
      <c r="A88" s="2" t="s">
        <v>188</v>
      </c>
      <c r="B88" s="2">
        <v>31</v>
      </c>
      <c r="C88" s="3">
        <v>34790</v>
      </c>
      <c r="D88" s="3">
        <v>44994</v>
      </c>
      <c r="E88" s="2" t="s">
        <v>12</v>
      </c>
      <c r="F88" s="2" t="s">
        <v>189</v>
      </c>
      <c r="G88" s="2" t="s">
        <v>38</v>
      </c>
      <c r="H88" s="4">
        <v>1934943</v>
      </c>
      <c r="I88" s="2">
        <v>1</v>
      </c>
      <c r="J88" s="5" t="str">
        <f t="shared" si="4"/>
        <v>Apr</v>
      </c>
      <c r="K88" s="5">
        <f t="shared" si="5"/>
        <v>4</v>
      </c>
    </row>
    <row r="89" spans="1:11" x14ac:dyDescent="0.25">
      <c r="A89" s="2" t="s">
        <v>190</v>
      </c>
      <c r="B89" s="2">
        <v>28</v>
      </c>
      <c r="C89" s="3">
        <v>35811</v>
      </c>
      <c r="D89" s="3">
        <v>42179</v>
      </c>
      <c r="E89" s="2" t="s">
        <v>12</v>
      </c>
      <c r="F89" s="2" t="s">
        <v>191</v>
      </c>
      <c r="G89" s="2" t="s">
        <v>38</v>
      </c>
      <c r="H89" s="4">
        <v>1559508</v>
      </c>
      <c r="I89" s="2">
        <v>5</v>
      </c>
      <c r="J89" s="5" t="str">
        <f t="shared" si="4"/>
        <v>Jan</v>
      </c>
      <c r="K89" s="5">
        <f t="shared" si="5"/>
        <v>1</v>
      </c>
    </row>
    <row r="90" spans="1:11" x14ac:dyDescent="0.25">
      <c r="A90" s="2" t="s">
        <v>192</v>
      </c>
      <c r="B90" s="2">
        <v>48</v>
      </c>
      <c r="C90" s="3">
        <v>28729</v>
      </c>
      <c r="D90" s="3">
        <v>44949</v>
      </c>
      <c r="E90" s="2" t="s">
        <v>12</v>
      </c>
      <c r="F90" s="2" t="s">
        <v>193</v>
      </c>
      <c r="G90" s="2" t="s">
        <v>22</v>
      </c>
      <c r="H90" s="4">
        <v>1058915</v>
      </c>
      <c r="I90" s="2">
        <v>4</v>
      </c>
      <c r="J90" s="5" t="str">
        <f t="shared" si="4"/>
        <v>Aug</v>
      </c>
      <c r="K90" s="5">
        <f t="shared" si="5"/>
        <v>8</v>
      </c>
    </row>
    <row r="91" spans="1:11" x14ac:dyDescent="0.25">
      <c r="A91" s="2" t="s">
        <v>194</v>
      </c>
      <c r="B91" s="2">
        <v>56</v>
      </c>
      <c r="C91" s="3">
        <v>25736</v>
      </c>
      <c r="D91" s="3">
        <v>43070</v>
      </c>
      <c r="E91" s="2" t="s">
        <v>12</v>
      </c>
      <c r="F91" s="2" t="s">
        <v>195</v>
      </c>
      <c r="G91" s="2" t="s">
        <v>14</v>
      </c>
      <c r="H91" s="4">
        <v>1083308</v>
      </c>
      <c r="I91" s="2">
        <v>4</v>
      </c>
      <c r="J91" s="5" t="str">
        <f t="shared" si="4"/>
        <v>Jun</v>
      </c>
      <c r="K91" s="5">
        <f t="shared" si="5"/>
        <v>6</v>
      </c>
    </row>
    <row r="92" spans="1:11" x14ac:dyDescent="0.25">
      <c r="A92" s="2" t="s">
        <v>196</v>
      </c>
      <c r="B92" s="2">
        <v>38</v>
      </c>
      <c r="C92" s="3">
        <v>32272</v>
      </c>
      <c r="D92" s="3">
        <v>42314</v>
      </c>
      <c r="E92" s="2" t="s">
        <v>33</v>
      </c>
      <c r="F92" s="2" t="s">
        <v>197</v>
      </c>
      <c r="G92" s="2" t="s">
        <v>14</v>
      </c>
      <c r="H92" s="4">
        <v>1486660</v>
      </c>
      <c r="I92" s="2">
        <v>2</v>
      </c>
      <c r="J92" s="5" t="str">
        <f t="shared" si="4"/>
        <v>May</v>
      </c>
      <c r="K92" s="5">
        <f t="shared" si="5"/>
        <v>5</v>
      </c>
    </row>
    <row r="93" spans="1:11" x14ac:dyDescent="0.25">
      <c r="A93" s="2" t="s">
        <v>198</v>
      </c>
      <c r="B93" s="2">
        <v>61</v>
      </c>
      <c r="C93" s="3">
        <v>23947</v>
      </c>
      <c r="D93" s="3">
        <v>44703</v>
      </c>
      <c r="E93" s="2" t="s">
        <v>12</v>
      </c>
      <c r="F93" s="2" t="s">
        <v>199</v>
      </c>
      <c r="G93" s="2" t="s">
        <v>35</v>
      </c>
      <c r="H93" s="4">
        <v>1620116</v>
      </c>
      <c r="I93" s="2">
        <v>1</v>
      </c>
      <c r="J93" s="5" t="str">
        <f t="shared" si="4"/>
        <v>Jul</v>
      </c>
      <c r="K93" s="5">
        <f t="shared" si="5"/>
        <v>7</v>
      </c>
    </row>
    <row r="94" spans="1:11" x14ac:dyDescent="0.25">
      <c r="A94" s="2" t="s">
        <v>200</v>
      </c>
      <c r="B94" s="2">
        <v>25</v>
      </c>
      <c r="C94" s="3">
        <v>36815</v>
      </c>
      <c r="D94" s="3">
        <v>44001</v>
      </c>
      <c r="E94" s="2" t="s">
        <v>12</v>
      </c>
      <c r="F94" s="2" t="s">
        <v>201</v>
      </c>
      <c r="G94" s="2" t="s">
        <v>56</v>
      </c>
      <c r="H94" s="4">
        <v>1854408</v>
      </c>
      <c r="I94" s="2">
        <v>1</v>
      </c>
      <c r="J94" s="5" t="str">
        <f t="shared" si="4"/>
        <v>Oct</v>
      </c>
      <c r="K94" s="5">
        <f t="shared" si="5"/>
        <v>10</v>
      </c>
    </row>
    <row r="95" spans="1:11" x14ac:dyDescent="0.25">
      <c r="A95" s="2" t="s">
        <v>202</v>
      </c>
      <c r="B95" s="2">
        <v>24</v>
      </c>
      <c r="C95" s="3">
        <v>37476</v>
      </c>
      <c r="D95" s="3">
        <v>42458</v>
      </c>
      <c r="E95" s="2" t="s">
        <v>30</v>
      </c>
      <c r="F95" s="2" t="s">
        <v>203</v>
      </c>
      <c r="G95" s="2" t="s">
        <v>14</v>
      </c>
      <c r="H95" s="4">
        <v>1614638</v>
      </c>
      <c r="I95" s="2">
        <v>2</v>
      </c>
      <c r="J95" s="5" t="str">
        <f t="shared" si="4"/>
        <v>Aug</v>
      </c>
      <c r="K95" s="5">
        <f t="shared" si="5"/>
        <v>8</v>
      </c>
    </row>
    <row r="96" spans="1:11" x14ac:dyDescent="0.25">
      <c r="A96" s="2" t="s">
        <v>204</v>
      </c>
      <c r="B96" s="2">
        <v>46</v>
      </c>
      <c r="C96" s="3">
        <v>29440</v>
      </c>
      <c r="D96" s="3">
        <v>42034</v>
      </c>
      <c r="E96" s="2" t="s">
        <v>12</v>
      </c>
      <c r="F96" s="2" t="s">
        <v>205</v>
      </c>
      <c r="G96" s="2" t="s">
        <v>56</v>
      </c>
      <c r="H96" s="4">
        <v>309359</v>
      </c>
      <c r="I96" s="2">
        <v>3</v>
      </c>
      <c r="J96" s="5" t="str">
        <f t="shared" si="4"/>
        <v>Aug</v>
      </c>
      <c r="K96" s="5">
        <f t="shared" si="5"/>
        <v>8</v>
      </c>
    </row>
    <row r="97" spans="1:11" x14ac:dyDescent="0.25">
      <c r="A97" s="2" t="s">
        <v>206</v>
      </c>
      <c r="B97" s="2">
        <v>43</v>
      </c>
      <c r="C97" s="3">
        <v>30505</v>
      </c>
      <c r="D97" s="3">
        <v>42332</v>
      </c>
      <c r="E97" s="2" t="s">
        <v>30</v>
      </c>
      <c r="F97" s="2" t="s">
        <v>207</v>
      </c>
      <c r="G97" s="2" t="s">
        <v>38</v>
      </c>
      <c r="H97" s="4">
        <v>678516</v>
      </c>
      <c r="I97" s="2">
        <v>1</v>
      </c>
      <c r="J97" s="5" t="str">
        <f t="shared" si="4"/>
        <v>Jul</v>
      </c>
      <c r="K97" s="5">
        <f t="shared" si="5"/>
        <v>7</v>
      </c>
    </row>
    <row r="98" spans="1:11" x14ac:dyDescent="0.25">
      <c r="A98" s="2" t="s">
        <v>208</v>
      </c>
      <c r="B98" s="2">
        <v>31</v>
      </c>
      <c r="C98" s="3">
        <v>34836</v>
      </c>
      <c r="D98" s="3">
        <v>43703</v>
      </c>
      <c r="E98" s="2" t="s">
        <v>33</v>
      </c>
      <c r="F98" s="2" t="s">
        <v>209</v>
      </c>
      <c r="G98" s="2" t="s">
        <v>56</v>
      </c>
      <c r="H98" s="4">
        <v>1523907</v>
      </c>
      <c r="I98" s="2">
        <v>4</v>
      </c>
      <c r="J98" s="5" t="str">
        <f t="shared" si="4"/>
        <v>May</v>
      </c>
      <c r="K98" s="5">
        <f t="shared" si="5"/>
        <v>5</v>
      </c>
    </row>
    <row r="99" spans="1:11" x14ac:dyDescent="0.25">
      <c r="A99" s="2" t="s">
        <v>210</v>
      </c>
      <c r="B99" s="2">
        <v>48</v>
      </c>
      <c r="C99" s="3">
        <v>28684</v>
      </c>
      <c r="D99" s="3">
        <v>42816</v>
      </c>
      <c r="E99" s="2" t="s">
        <v>33</v>
      </c>
      <c r="F99" s="2" t="s">
        <v>211</v>
      </c>
      <c r="G99" s="2" t="s">
        <v>22</v>
      </c>
      <c r="H99" s="4">
        <v>1494775</v>
      </c>
      <c r="I99" s="2">
        <v>2</v>
      </c>
      <c r="J99" s="5" t="str">
        <f t="shared" si="4"/>
        <v>Jul</v>
      </c>
      <c r="K99" s="5">
        <f t="shared" si="5"/>
        <v>7</v>
      </c>
    </row>
    <row r="100" spans="1:11" x14ac:dyDescent="0.25">
      <c r="A100" s="2" t="s">
        <v>212</v>
      </c>
      <c r="B100" s="2">
        <v>32</v>
      </c>
      <c r="C100" s="3">
        <v>34290</v>
      </c>
      <c r="D100" s="3">
        <v>44053</v>
      </c>
      <c r="E100" s="2" t="s">
        <v>33</v>
      </c>
      <c r="F100" s="2" t="s">
        <v>213</v>
      </c>
      <c r="G100" s="2" t="s">
        <v>19</v>
      </c>
      <c r="H100" s="4">
        <v>802479</v>
      </c>
      <c r="I100" s="2">
        <v>2</v>
      </c>
      <c r="J100" s="5" t="str">
        <f t="shared" si="4"/>
        <v>Nov</v>
      </c>
      <c r="K100" s="5">
        <f t="shared" si="5"/>
        <v>11</v>
      </c>
    </row>
    <row r="101" spans="1:11" x14ac:dyDescent="0.25">
      <c r="A101" s="2" t="s">
        <v>214</v>
      </c>
      <c r="B101" s="2">
        <v>41</v>
      </c>
      <c r="C101" s="3">
        <v>30968</v>
      </c>
      <c r="D101" s="3">
        <v>45148</v>
      </c>
      <c r="E101" s="2" t="s">
        <v>12</v>
      </c>
      <c r="F101" s="2" t="s">
        <v>215</v>
      </c>
      <c r="G101" s="2" t="s">
        <v>19</v>
      </c>
      <c r="H101" s="4">
        <v>401261</v>
      </c>
      <c r="I101" s="2">
        <v>5</v>
      </c>
      <c r="J101" s="5" t="str">
        <f t="shared" si="4"/>
        <v>Oct</v>
      </c>
      <c r="K101" s="5">
        <f t="shared" si="5"/>
        <v>10</v>
      </c>
    </row>
  </sheetData>
  <autoFilter ref="A1:K101"/>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H43"/>
  <sheetViews>
    <sheetView workbookViewId="0">
      <selection activeCell="E11" sqref="E11"/>
    </sheetView>
  </sheetViews>
  <sheetFormatPr defaultRowHeight="15" x14ac:dyDescent="0.25"/>
  <cols>
    <col min="1" max="1" width="13.140625" bestFit="1" customWidth="1"/>
    <col min="2" max="2" width="15.5703125" bestFit="1" customWidth="1"/>
    <col min="4" max="4" width="13.140625" bestFit="1" customWidth="1"/>
    <col min="5" max="5" width="30.7109375" customWidth="1"/>
    <col min="7" max="7" width="13.140625" bestFit="1" customWidth="1"/>
    <col min="8" max="8" width="33.140625" bestFit="1" customWidth="1"/>
  </cols>
  <sheetData>
    <row r="3" spans="1:8" x14ac:dyDescent="0.25">
      <c r="A3" s="6" t="s">
        <v>216</v>
      </c>
      <c r="B3" t="s">
        <v>220</v>
      </c>
      <c r="D3" s="6" t="s">
        <v>216</v>
      </c>
      <c r="E3" t="s">
        <v>218</v>
      </c>
      <c r="G3" s="6" t="s">
        <v>216</v>
      </c>
      <c r="H3" t="s">
        <v>219</v>
      </c>
    </row>
    <row r="4" spans="1:8" x14ac:dyDescent="0.25">
      <c r="A4" s="7">
        <v>24</v>
      </c>
      <c r="B4" s="8">
        <v>2</v>
      </c>
      <c r="D4" s="7" t="s">
        <v>33</v>
      </c>
      <c r="E4" s="8">
        <v>32</v>
      </c>
      <c r="G4" s="7" t="s">
        <v>14</v>
      </c>
      <c r="H4" s="9">
        <v>1280467.857142857</v>
      </c>
    </row>
    <row r="5" spans="1:8" x14ac:dyDescent="0.25">
      <c r="A5" s="7">
        <v>25</v>
      </c>
      <c r="B5" s="8">
        <v>4</v>
      </c>
      <c r="D5" s="7" t="s">
        <v>30</v>
      </c>
      <c r="E5" s="8">
        <v>34</v>
      </c>
      <c r="G5" s="7" t="s">
        <v>22</v>
      </c>
      <c r="H5" s="9">
        <v>993962.85714285716</v>
      </c>
    </row>
    <row r="6" spans="1:8" x14ac:dyDescent="0.25">
      <c r="A6" s="7">
        <v>26</v>
      </c>
      <c r="B6" s="8">
        <v>2</v>
      </c>
      <c r="D6" s="7" t="s">
        <v>12</v>
      </c>
      <c r="E6" s="8">
        <v>34</v>
      </c>
      <c r="G6" s="7" t="s">
        <v>56</v>
      </c>
      <c r="H6" s="9">
        <v>1304953.5</v>
      </c>
    </row>
    <row r="7" spans="1:8" x14ac:dyDescent="0.25">
      <c r="A7" s="7">
        <v>27</v>
      </c>
      <c r="B7" s="8">
        <v>1</v>
      </c>
      <c r="D7" s="7" t="s">
        <v>217</v>
      </c>
      <c r="E7" s="8">
        <v>100</v>
      </c>
      <c r="G7" s="7" t="s">
        <v>19</v>
      </c>
      <c r="H7" s="9">
        <v>1076073.9090909092</v>
      </c>
    </row>
    <row r="8" spans="1:8" x14ac:dyDescent="0.25">
      <c r="A8" s="7">
        <v>28</v>
      </c>
      <c r="B8" s="8">
        <v>4</v>
      </c>
      <c r="G8" s="7" t="s">
        <v>38</v>
      </c>
      <c r="H8" s="9">
        <v>1111487.2631578948</v>
      </c>
    </row>
    <row r="9" spans="1:8" x14ac:dyDescent="0.25">
      <c r="A9" s="7">
        <v>29</v>
      </c>
      <c r="B9" s="8">
        <v>1</v>
      </c>
      <c r="G9" s="7" t="s">
        <v>35</v>
      </c>
      <c r="H9" s="9">
        <v>1283128.3333333333</v>
      </c>
    </row>
    <row r="10" spans="1:8" x14ac:dyDescent="0.25">
      <c r="A10" s="7">
        <v>30</v>
      </c>
      <c r="B10" s="8">
        <v>2</v>
      </c>
      <c r="G10" s="7" t="s">
        <v>217</v>
      </c>
      <c r="H10" s="9">
        <v>1166541.71</v>
      </c>
    </row>
    <row r="11" spans="1:8" x14ac:dyDescent="0.25">
      <c r="A11" s="7">
        <v>31</v>
      </c>
      <c r="B11" s="8">
        <v>4</v>
      </c>
      <c r="D11" s="6" t="s">
        <v>216</v>
      </c>
      <c r="E11" t="s">
        <v>221</v>
      </c>
    </row>
    <row r="12" spans="1:8" x14ac:dyDescent="0.25">
      <c r="A12" s="7">
        <v>32</v>
      </c>
      <c r="B12" s="8">
        <v>4</v>
      </c>
      <c r="D12" s="7" t="s">
        <v>14</v>
      </c>
      <c r="E12" s="8">
        <v>21</v>
      </c>
    </row>
    <row r="13" spans="1:8" x14ac:dyDescent="0.25">
      <c r="A13" s="7">
        <v>33</v>
      </c>
      <c r="B13" s="8">
        <v>4</v>
      </c>
      <c r="D13" s="7" t="s">
        <v>22</v>
      </c>
      <c r="E13" s="8">
        <v>14</v>
      </c>
    </row>
    <row r="14" spans="1:8" x14ac:dyDescent="0.25">
      <c r="A14" s="7">
        <v>34</v>
      </c>
      <c r="B14" s="8">
        <v>1</v>
      </c>
      <c r="D14" s="7" t="s">
        <v>56</v>
      </c>
      <c r="E14" s="8">
        <v>12</v>
      </c>
    </row>
    <row r="15" spans="1:8" x14ac:dyDescent="0.25">
      <c r="A15" s="7">
        <v>35</v>
      </c>
      <c r="B15" s="8">
        <v>2</v>
      </c>
      <c r="D15" s="7" t="s">
        <v>19</v>
      </c>
      <c r="E15" s="8">
        <v>22</v>
      </c>
    </row>
    <row r="16" spans="1:8" x14ac:dyDescent="0.25">
      <c r="A16" s="7">
        <v>36</v>
      </c>
      <c r="B16" s="8">
        <v>3</v>
      </c>
      <c r="D16" s="7" t="s">
        <v>38</v>
      </c>
      <c r="E16" s="8">
        <v>19</v>
      </c>
    </row>
    <row r="17" spans="1:5" x14ac:dyDescent="0.25">
      <c r="A17" s="7">
        <v>37</v>
      </c>
      <c r="B17" s="8">
        <v>2</v>
      </c>
      <c r="D17" s="7" t="s">
        <v>35</v>
      </c>
      <c r="E17" s="8">
        <v>12</v>
      </c>
    </row>
    <row r="18" spans="1:5" x14ac:dyDescent="0.25">
      <c r="A18" s="7">
        <v>38</v>
      </c>
      <c r="B18" s="8">
        <v>3</v>
      </c>
      <c r="D18" s="7" t="s">
        <v>217</v>
      </c>
      <c r="E18" s="8">
        <v>100</v>
      </c>
    </row>
    <row r="19" spans="1:5" x14ac:dyDescent="0.25">
      <c r="A19" s="7">
        <v>39</v>
      </c>
      <c r="B19" s="8">
        <v>1</v>
      </c>
    </row>
    <row r="20" spans="1:5" x14ac:dyDescent="0.25">
      <c r="A20" s="7">
        <v>40</v>
      </c>
      <c r="B20" s="8">
        <v>1</v>
      </c>
    </row>
    <row r="21" spans="1:5" x14ac:dyDescent="0.25">
      <c r="A21" s="7">
        <v>41</v>
      </c>
      <c r="B21" s="8">
        <v>2</v>
      </c>
    </row>
    <row r="22" spans="1:5" x14ac:dyDescent="0.25">
      <c r="A22" s="7">
        <v>42</v>
      </c>
      <c r="B22" s="8">
        <v>2</v>
      </c>
    </row>
    <row r="23" spans="1:5" x14ac:dyDescent="0.25">
      <c r="A23" s="7">
        <v>43</v>
      </c>
      <c r="B23" s="8">
        <v>6</v>
      </c>
    </row>
    <row r="24" spans="1:5" x14ac:dyDescent="0.25">
      <c r="A24" s="7">
        <v>44</v>
      </c>
      <c r="B24" s="8">
        <v>1</v>
      </c>
    </row>
    <row r="25" spans="1:5" x14ac:dyDescent="0.25">
      <c r="A25" s="7">
        <v>45</v>
      </c>
      <c r="B25" s="8">
        <v>5</v>
      </c>
    </row>
    <row r="26" spans="1:5" x14ac:dyDescent="0.25">
      <c r="A26" s="7">
        <v>46</v>
      </c>
      <c r="B26" s="8">
        <v>3</v>
      </c>
    </row>
    <row r="27" spans="1:5" x14ac:dyDescent="0.25">
      <c r="A27" s="7">
        <v>47</v>
      </c>
      <c r="B27" s="8">
        <v>2</v>
      </c>
    </row>
    <row r="28" spans="1:5" x14ac:dyDescent="0.25">
      <c r="A28" s="7">
        <v>48</v>
      </c>
      <c r="B28" s="8">
        <v>5</v>
      </c>
    </row>
    <row r="29" spans="1:5" x14ac:dyDescent="0.25">
      <c r="A29" s="7">
        <v>49</v>
      </c>
      <c r="B29" s="8">
        <v>2</v>
      </c>
    </row>
    <row r="30" spans="1:5" x14ac:dyDescent="0.25">
      <c r="A30" s="7">
        <v>50</v>
      </c>
      <c r="B30" s="8">
        <v>2</v>
      </c>
    </row>
    <row r="31" spans="1:5" x14ac:dyDescent="0.25">
      <c r="A31" s="7">
        <v>51</v>
      </c>
      <c r="B31" s="8">
        <v>3</v>
      </c>
    </row>
    <row r="32" spans="1:5" x14ac:dyDescent="0.25">
      <c r="A32" s="7">
        <v>52</v>
      </c>
      <c r="B32" s="8">
        <v>1</v>
      </c>
    </row>
    <row r="33" spans="1:2" x14ac:dyDescent="0.25">
      <c r="A33" s="7">
        <v>53</v>
      </c>
      <c r="B33" s="8">
        <v>2</v>
      </c>
    </row>
    <row r="34" spans="1:2" x14ac:dyDescent="0.25">
      <c r="A34" s="7">
        <v>54</v>
      </c>
      <c r="B34" s="8">
        <v>5</v>
      </c>
    </row>
    <row r="35" spans="1:2" x14ac:dyDescent="0.25">
      <c r="A35" s="7">
        <v>55</v>
      </c>
      <c r="B35" s="8">
        <v>4</v>
      </c>
    </row>
    <row r="36" spans="1:2" x14ac:dyDescent="0.25">
      <c r="A36" s="7">
        <v>56</v>
      </c>
      <c r="B36" s="8">
        <v>1</v>
      </c>
    </row>
    <row r="37" spans="1:2" x14ac:dyDescent="0.25">
      <c r="A37" s="7">
        <v>57</v>
      </c>
      <c r="B37" s="8">
        <v>1</v>
      </c>
    </row>
    <row r="38" spans="1:2" x14ac:dyDescent="0.25">
      <c r="A38" s="7">
        <v>58</v>
      </c>
      <c r="B38" s="8">
        <v>2</v>
      </c>
    </row>
    <row r="39" spans="1:2" x14ac:dyDescent="0.25">
      <c r="A39" s="7">
        <v>59</v>
      </c>
      <c r="B39" s="8">
        <v>3</v>
      </c>
    </row>
    <row r="40" spans="1:2" x14ac:dyDescent="0.25">
      <c r="A40" s="7">
        <v>60</v>
      </c>
      <c r="B40" s="8">
        <v>4</v>
      </c>
    </row>
    <row r="41" spans="1:2" x14ac:dyDescent="0.25">
      <c r="A41" s="7">
        <v>61</v>
      </c>
      <c r="B41" s="8">
        <v>2</v>
      </c>
    </row>
    <row r="42" spans="1:2" x14ac:dyDescent="0.25">
      <c r="A42" s="7">
        <v>62</v>
      </c>
      <c r="B42" s="8">
        <v>1</v>
      </c>
    </row>
    <row r="43" spans="1:2" x14ac:dyDescent="0.25">
      <c r="A43" s="7" t="s">
        <v>217</v>
      </c>
      <c r="B43" s="8">
        <v>100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106" zoomScaleNormal="106" workbookViewId="0">
      <selection activeCell="T3" sqref="T3"/>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Employees</vt:lpstr>
      <vt:lpstr>Pivot Table</vt:lpstr>
      <vt:lpstr>Pivot Graph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AFNAN</cp:lastModifiedBy>
  <cp:revision>0</cp:revision>
  <dcterms:created xsi:type="dcterms:W3CDTF">2026-09-28T03:29:46Z</dcterms:created>
  <dcterms:modified xsi:type="dcterms:W3CDTF">2026-09-28T15:44:08Z</dcterms:modified>
  <dc:language>en-US</dc:language>
</cp:coreProperties>
</file>